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alih\Desktop\"/>
    </mc:Choice>
  </mc:AlternateContent>
  <xr:revisionPtr revIDLastSave="0" documentId="13_ncr:1_{CCE53C38-17F0-48F1-B4E2-C08E6D66A045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Enzymes" sheetId="1" r:id="rId1"/>
    <sheet name="Enzymes&amp;Substara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2" l="1"/>
  <c r="H35" i="2"/>
  <c r="H16" i="2"/>
  <c r="H38" i="2"/>
  <c r="H18" i="2"/>
  <c r="H36" i="2"/>
  <c r="H17" i="2"/>
  <c r="H29" i="2"/>
  <c r="H23" i="2"/>
  <c r="H31" i="2"/>
  <c r="H25" i="2"/>
  <c r="H34" i="2"/>
  <c r="H28" i="2"/>
  <c r="H33" i="2"/>
  <c r="H27" i="2"/>
  <c r="H39" i="2"/>
  <c r="H19" i="2"/>
  <c r="H32" i="2"/>
  <c r="H26" i="2"/>
  <c r="H30" i="2"/>
  <c r="H24" i="2"/>
  <c r="H41" i="2"/>
  <c r="H21" i="2"/>
  <c r="H42" i="2"/>
  <c r="H22" i="2"/>
  <c r="H40" i="2"/>
  <c r="H20" i="2"/>
</calcChain>
</file>

<file path=xl/sharedStrings.xml><?xml version="1.0" encoding="utf-8"?>
<sst xmlns="http://schemas.openxmlformats.org/spreadsheetml/2006/main" count="505" uniqueCount="239">
  <si>
    <t>Protein İsmi</t>
  </si>
  <si>
    <t>MTL</t>
  </si>
  <si>
    <t>PulA</t>
  </si>
  <si>
    <t>PueA</t>
  </si>
  <si>
    <t>PueB</t>
  </si>
  <si>
    <t>CALB</t>
  </si>
  <si>
    <t>PudA</t>
  </si>
  <si>
    <t>TfCut2</t>
  </si>
  <si>
    <t>Tcur1278</t>
  </si>
  <si>
    <t>Tcur0390</t>
  </si>
  <si>
    <t>LCC</t>
  </si>
  <si>
    <t>Humicola insolens cutinase (HiC)</t>
  </si>
  <si>
    <t>CpCut1</t>
  </si>
  <si>
    <t>BaCut1</t>
  </si>
  <si>
    <t xml:space="preserve">Cholestrol Esterase </t>
  </si>
  <si>
    <t>UMG-SP-1</t>
  </si>
  <si>
    <t>UMG-SP-2</t>
  </si>
  <si>
    <t>UMG-SP-3</t>
  </si>
  <si>
    <t>Urethane Hydrolase</t>
  </si>
  <si>
    <t>Tür</t>
  </si>
  <si>
    <t>Pseudomonas fluorescens</t>
  </si>
  <si>
    <t>Pseudomonas chlororaphis</t>
  </si>
  <si>
    <t>Thermomanospora curvata</t>
  </si>
  <si>
    <t>-</t>
  </si>
  <si>
    <t xml:space="preserve">Enzim Ailesi </t>
  </si>
  <si>
    <t>Referans</t>
  </si>
  <si>
    <t>Lipaz</t>
  </si>
  <si>
    <t>+ PS-PUR</t>
  </si>
  <si>
    <t>(Ru vd., 2024)</t>
  </si>
  <si>
    <t>(Vega vd., 1999)</t>
  </si>
  <si>
    <t>(Stern ve Howard, 2000)</t>
  </si>
  <si>
    <t>(Howard vd., 2001)</t>
  </si>
  <si>
    <t>(Magnin vd., 2021)</t>
  </si>
  <si>
    <t>Esteraz</t>
  </si>
  <si>
    <t>(Akutsu vd., 1998)</t>
  </si>
  <si>
    <t>(Schmidt vd., 2017)</t>
  </si>
  <si>
    <t>(Liu vd., 2024)</t>
  </si>
  <si>
    <t>(Jiang vd., 2024)</t>
  </si>
  <si>
    <t>(Santerre vd., 1994)</t>
  </si>
  <si>
    <t>Amidaz</t>
  </si>
  <si>
    <t>(Bayer vd., 2024)</t>
  </si>
  <si>
    <t>(Paiva vd., 2024)</t>
  </si>
  <si>
    <t>Amidaz, Esteraz</t>
  </si>
  <si>
    <t>(Akutsu-Shigeno vd., 2006)</t>
  </si>
  <si>
    <t>GenBank</t>
  </si>
  <si>
    <t>Amino Asit Dizisi</t>
  </si>
  <si>
    <t>Nükleotid Dizisi</t>
  </si>
  <si>
    <t>&gt;TPW42647.1 polyurethanase [Mixta tenebrionis]
MGIFSFNNLNEDEAKALFNDALKLTTYTYHNLDDGLANGYYGSGFGLGLPVTLITALFGNGDSQGIIGGL
PWNPDSEQKALETINEAGWYTIDAATLGYDGVTDSRGTYYGENFGYKTAQAEVMGKYDAEGHLIQIGIAF
RGTSGPRENLICDTIGDAINDIFAGLMSEDYSNYYSANAFGDLLGKVAVFAGENGLSGSDVVVSGHSLGG
LSVNSMAYLSDKNWNGFYSDANYIAFASPTQYEEGGKVLNVGFENDPVFRVLDGTDITLSTFFTHDGHYE
TTTDNIVNFNDYYASNTWNILPQSIVNIASWLTHMPFFYQDNMTRILDSEFYSLTDRDSTVVVANLSDGA
RTNTWVEDRNIYAQKHTGPVFIIGSEGNDLIKGGAGNDYIEGGIGDDTFRDAGGYNIISGGLGHNTLDIE
QSLSDYDIAKDGNTLYLRDADGGITIASDIHTVQSLESFLWLFTESVDHNVTDDGLLSTKGLTSWATSVN
GDSAANILQASEAGSWLFGGGGDDRLYGAGDNDTFVGGEGDDSIYAAGNDNTFIFSGDFGHDSIFGFNES
DSLVLMGVQGAIGGDYHDFITESEESLVLDFGQNSITLVGVTQQMLDDAHVILA</t>
  </si>
  <si>
    <t>&gt;AF144089.1 Pseudomonas fluorescens polyurethanase lipase A (pulA) gene, complete cds
GGTACCGAGGACTCCAAGGCGTTGTTCGCCGATGCCATGGCGATCACGCTGTATTCCTACCACAACCTGG
ATAACGGCTTTGCCGTCGGCTACCAGAACAATGGCCTCGGGCTGGGGTTACCGGCCACCCTGGTCAGCGC
GCTGATTGGCGGCAGCAATGCCCAAGGGGTCATCCCCGGGATCCCCTGGAACCCCGACTCGGAAAAACCC
GCCCTTGAGGCGGTGCAAGCAGCCGGCTGGACGCCCATCAGCGCCAGTACCCTGGGCTATACGGCAAGGT
CGATGCACGCGGCACCTACTTTGGCGAAAAATTCGGCTACGGCACGGCGCAGGCCGAGGTGCTGGGCAAG
TACGATGACGCTGGCAACTGCTGGAAATCGGCATCAGTTTCCGCGGCACTTCAGGGCCTCGGGAAAGTGT
GATCACCGACTCCATCGGCGATGTGATCAACGACCTGCTCGCCGCCTTCGGGCCCAAGGATTATGCCAAG
AACTACGCGGGGGAGGCTTTTGGCGGGTTGCTCAAAGACTGGCGGATACGCCACTGCCAGGCCTGGGCGG
CAATGACGTAGTGGTCAGCGGCCACAGCCTGGGCGGCATGGCGGTCAACAGCATGGCCGACTTGAGCGAC
AGTACTTGGTCGGGGTTCTATAAAGACGCCAATTACCTGGCCTACGCATCGCCGACCCAGAGCGCCGGCG
ACAAGGTGCTTAACGTCGGTTATGAAAACGATCCAGTATTCCGAGCCCTGGATGGCTCGTCATTCAACCT
GTCGTCCCTGGGCGTGCACGACAAGGCCCACGAATCGAGCACTGACAACATTGTCAGTTTGAACGATCAC
TACGCCTCATCCCTGTGGAACGTGCTGCCGTTTTCCATCCTCAACCTGCCCACTTGGGTTTCGCACTTGC
CCACCGGTTACGGTGACGGCATGACCCGTATCCTCGACTCGGGGTTCTACGAACAGATGACCCGCGACTC
CACGGTGATCGTCGCCAACCTGTCCGACCCGGCACGGGCCACCACCTGGGTGCAAGACCTCAACCGCAAT
GCCGAGGCGCACAAGGGCAATACCTTCATCATCGGCAGCGACGGCGACGACTTCATCAAAGGCGGCAGGG
GCGCGGACTTTATAGAAGGTGGCAAGGGCAATGACACCATCCGTGACAGCAGCGGGCACAACACGTTTTT
GTTCAGCGGGCAGTTTGGCAATGACCGGGTGATTGGCTACCAGGCGACGGACAAGCTGGTGTTCAACGAC
GTGGCGGGCAGCACCGATTACCGCGATCACGTCAAGGTGGTGGGCGGGGATACAGTCATTGGCTTTGGGA
CGGATTCGGTGACGCTGGTGGGTGTGAGCAGTCTGTCGGGGGAGGGGATAGTCATCAGCTAACGCATTCG
GTGTGGGAGCCC</t>
  </si>
  <si>
    <t>&gt;AF069748.1 Pseudomonas chlororaphis polyurethanase esterase A (pueA) gene, complete cds
GGGTTGCTGGGGGCCGGGACAAGATCACGGGGTCGGCTTGACCCTGGACTGGCAGTTCTGAAGGCCGGGT
AGCCAGCAGTCCCCCGGCCCTTCACCGAGTTGCCCGAGTCCCGCCATGGGGCTTGGGCGGCATGCGTTTG
CTCTGACAATTCCAACAACAGAAGAGGCAATACCATGGGTGTGTTTGACTACAAGAACTTCACTGCAAGT
GACTCCAAGGCGCTGTTTTCCGATGCGCTGGCGATCACCCTGTACTCCTACCACAACATCGACAACGGCT
TTGCCGAGGGCTACCAGCACAACGGCTTCGGCCTGGGCCTGCCGGCGACCCTGGTCACGGCGCTGATCGG
CAGCGGCAATTCCCAGGGGGTAATCCCCGGCATTCCCTGGAACCCCGACTCCGAGAAGGCCGCGCTGGAT
GCCCTGCACCAGGCCGGCTGGTCCACCATCAGCGCCCAGCAACTGGGCTACGACGGCAAGGTCGATGGCC
GGGGAACCTTCTTTGGCGAGAAGGCCGGCTACGGCACGGCCCAGGTGGAAATCCTCGGCAAGTACGATGC
TCAGGGCCACCTGGAATCCATCGGCATTGCCTTTCGCGGCACCAGCGGGCCACGGGAATCGGTGATCAGT
GACACCATCGGTGATGTGATCAACGACCTGCTGGCGGCCCTGGGGCCCAAGGACTATGCGAAGAACTATG
CCGGCGAGGCGTTCGGCAAGCTGCTGGGAGATGTCGCCGCCTTCGCCCAGGCCAATGGCCTGTCGGGCAA
GGATGTCCTGGTCAGCGGCCACAGCCTGGGCGGGCTGGGGGTCAACAGCCTGGCGGACCTGAGCAGCGAA
CGCTGGTCGGGATTCTACAAGGACTCCAACTACATCGCCTACGCCTCGCCGACCCAGAGCGCCAGCGACA
AGGTGCTGAACATCGGCTACGAGAACGACCCGGTGTTCCGCGCCCTGGACGGCTCAACCTTCAACCTGTC
GTCCCTCGGGGTGCATGACGCCCACCAGGACTCGGCGACCAACAACATCGTCAACTTCAACGACCATTAC
GCCTCGACCCTGTGGAATGTGCTGCCGTCCTCGATCCTCAACATTCCCACCTGGCTCTCCCACCTGCCCA
CCGGCTACGGCGACGGCCTGTCCCGGGTGCTGGAGTCGAAGTTCTACGACTTCACCAGCAAGGACTCCAC
CATCGTGGTAGCCAACCTGTCGGACCCGGCCCGGGCCAGTACCTGGGTCCAGGACCTCAACCGCAATGCC
GAGACCCACAAGGGCAGCACCTTCATCATCGGCAGCGACGGCAACGACCTGATCCAGGGCGGCAGCGGCA
ACGACTACCTGGAAGGCCGGGCCGGCAACGATACGTTCCGCGACAGCGGCGGCTACAACATCATCCTCGG
CGGCCAGGGCAGCAACACCCTGGACCTGCAGCAGTCGGTCAAGAACTACAGCTTTGCCAGCGACGGCGCC
GGGACCCTGTACCTGCGTGACGCCAATGGCGGTATCAGCATGACCCGCGACATTGGCGCGATCCAGAGCA
AGGAGCCGGGCTTTCTCTGGGGCCTGTTCAAGGACGATGTGATCCACCAGGTCACCGACCAGGGCCTCAA
GGCCGGCGGGCAGCTTACCCAGTACGCCTCGTCGGTCAGGGGCGATGCGGGCGACAACGTGCTCAAGGCC
CATGCCGGCGGCGACTGGCTGTTCGGCCTGGACGGCAACGACCACCTGATCGGCGGCCAGGGCAACGACG
TGTTCGTTGGCGGTGCCGGCAACGACCTGATGGAAGCCGGAGGCGGCAACAATACCTTTCTGTTCACCGG
GCATTTTGGCCAGGACCGCATCCTCGGCTACCAGGGTGGCGACAAGCTGGTGTTCATGGGGGTGAGCGGC
GTGCTGCCGGACCAGGACTATCGGGCTCATGCCAGCAGCAGTGGTAACGACACGGTGCTGACCTTCGGCC
AGGACTCGGTGACCCTGGTGGGGGTCAGCCTGGAGCACCTCAACGGTTCCGGCATCGTTCTCGCCTGATG
CCGGCGCGGCGCGAGGCCTGCAATGGGCCTCGCACCGTTCATTGCCGGGGGAAAGTGACCTGCCAGTCGA
TTT</t>
  </si>
  <si>
    <t>&gt;AF188366.1 Pseudomonas chlororaphis polyurethanase esterase B (pueB) gene, complete cds
AAGAGGAATGAGCATGAGTATCTTCGATTACAAGACCGCCCTTGGCGGTGACGGCAAGGCCCTCTACAGC
GAGGCCATTACTCTGGCGCTGTACGCCTCCACACCCACCGGCGAGGCGCTGCCGGGCACCGCCTGGCGCC
CCATCAGCGTCAGCCAGCTGGGCTACCAGGGCAACGTCAGCGCCCAGGGCACGATTTCCGGCGAGCAGGC
GATTGTCAGCGACGCCCAGTCGAGGTGCTGGGCAAATACGACGCGGCCGGGCAGTTGCTGTCCATCGGCA
TCAAGCTTTCGCGGCACCCGACAGCCTCAAGGACGGTATCAACGACTTGCAGGCGGCCTTCGTGTCGGGC
TTTTGCCGACAACTACAAGCCGCCTGGCCTTTGACAACCTTCTTGGCAAGGTGGCGGCCTTTGCTGCGGC
CCAGGGCTTGAGCGGCAGCGATGTGCTGGTCACCGGCCACAGCCTGGGCGGCCTTGGGGGTCAACCACGT
GGCGGCCATGAGCAGCGATCACTGGGGCGGCTTCTACCAGGACGCCAGCTACTTGGCTTCGCCTCGCCGA
CCCAGAGCGCCAACAGCTCGCAGGTGCTGAACATCGGCTATGAAACGACCCGGTGTTCCGCGCCCTGGAC
GGCACTCATTTCAACAGCCTTGTCCCTGGGCACCCACTGGCAAGCCCCAGGAGTCGCGACCAACAACATC
GTCAGCTTCACCGATCACTATTCATCGTTCCTGGGCGAAGTTGATTCCCCAGAGCATCCTCAATCCGCAG
TCCTGGTCGGCCCACAGTGCGGTGGACTACGCCGCGGCCTCAACCGCCTGATCAACTCGGATTTCTATGA
CCTGACCAGCCGCGACTCCACCGTGGTTATTTCCAACCTGTCCGAGGGCAAGCGCGATCAGGTCTGGGTC
AAGGACCTCAACCTGTACGCGGAAAAACACACCGGCAGCACCTTCATCATCGGCACCCAGAGCAACGACC
TGCTGCACGGCGGCAAGGGCAACGACTACCTGGATGGCGGGGCCGGCGATGATCGCTTCCGCGATGACGG
CGGCTACAACATCATCCATGGCGGGCAGGGCCATAACGTGCTGGAACTGCAGCAGCCGCTGAAGAACTTT
TCCATCGCCAATGACGGCGACGGCACCCTGTATATCCGTGATGCCTACGGCGGCATCAGCATGACCCGGG
ACGTCGGCGCCCTGGTCAGCCACGAGACCGGAAGCTGGTGGCAACTGTTCGGCAAGGACGTGAGCCACAG
CGTCACCGCCGACGGCTTGCAGAACGGCAACCAGTGGACCGCCTACAACCATTCCCTCAACGGCGATGCC
TACGGCAATGCGCTGGTAGCCAGCGTCGATGGCGACTGGCTGTTCGGCCATGGCGGCGATGACCTGCTGA
GCAGCGACAAGGCCAACGTGACCTTCGTCGGTGGCACCGGCAACGACGTCATGCACTCCAGCGGTGGCGG
GGGCAATACCTTCCTGTTCAGCGGCAACTTCGGTTTCGACCTGATCCACGGCTACCAGAACACCGACAAG
CTGGTGTTCATGGGCGTGCCCGGGGTCGACGCCCATTACGACTACAGCCAGCATTTGTCGCAGAACGGCA
ACGACACCTTGGTTCAAGTGTTCGGCGAGTTTCTTCGGGTTAACCCTTGGTGGGGGTCGGCATGGACAAG
CCTTTCGGGCTCGGGCCTGGTCTTCGCCTGA</t>
  </si>
  <si>
    <t>&gt;CAA83122.1 lipase B [Moesziomyces antarcticus]
MKLLSLTGVAGVLATCVAATPLVKRLPSGSDPAFSQPKSVLDAGLTCQGASPSSVSKPILLVPGTGTTGP
QSFDSNWIPLSTQLGYTPCWISPPPFMLNDTQVNTEYMVNAITALYAGSGNNKLPVLTWSQGGLVAQWGL
TFFPSIRSKVDRLMAFAPDYKGTVLAGPLDALAVSAPSVWQQTTGSALTTALRNAGGLTQIVPTTNLYSA
TDEIVQPQVSNSPLDSSYLFNGKNVQAQAVCGPLFVIDHAGSLTSQFSYVVGRSALRSTTGQARSADYGI
TDCNPLPANDLTPEQKVAAAALLAPAAAAIVAGPKQNCEPDLMPYARPFAVGKRTCSGIVTP</t>
  </si>
  <si>
    <t>&gt;sp|Q9WX47|Q9WX47_COMAC Polyurethane esterase
MNSRSLTKAIRFPTILALAGFSVLGACGGSDNDSSSNNQGAPAVAITVAGQVQAVDRLGMRRYFGIPFAA
PPVGNLRWMPPAPPQSWAAPLAKTQSNAPCMQTGATDPLRLPNGTEDCLYLDVHAPATGEGPFPVMVWIH
GGAFSIGGTITYADPSPLVSKGVIVVNIAYRMGAMGFLGHPSLRAADGTVGNYGIMDQQAALRWVQDNIA
AFGGDKSNVTIFGESAGGFSVMTHLASPLSKGLFAKAIVQSGGYGFDRQLTQAQLEAQSTSIVNSALAAA
GVSCPTVDAACLRGLSAELVNNQLATAFTTANWSPVPSVDGKVLPKSIKATFVAGENNKVPLVNGSNQDE
WSYFVASRELVAGPLTAAQYPSYLQTSLGLPPSLATVYPLTDYGTNTAQQPSLAATAAGTDMHFSCPALN
LSKRVLSQATPIFMYEFRDRTAIPSIGRNTISFNQGAGHTYELQYLFNLRDLETAEHRDLQASMARYWTN
FARTSNPNNGDPVATSWPAFTGPTKVLGLDVASAGGIRELATFETDHKCNTAWTSLTF</t>
  </si>
  <si>
    <t>GenBank: ACY95991.1 UniPROT: D1A2H1</t>
  </si>
  <si>
    <t>&gt;ACY95991.1 Triacylglycerol lipase [Thermomonospora curvata DSM 43183]
MKRTLKRALSLLPAAALAASALVAASPAQAAANPYQRGPNPTEASITAARGPFNTAEITVSRLSVSGFGG
GKIYYPTTTSEGTFGAIAISPGFTAYWSSLEWLGHRLASQGFVVIGIETNTTLDQPDQRGQQLLAALDYL
TQRSAVRDRVDASRLAVAGHSMGGGGSLEAAKARTSLKAAIPLAPWNLDKTWPEVRTPTLIIGGELDAVA
PVATHSIPFYNSLSNAPEKAYLELDNASHFFPNITNTQMAKYMIAWMKRFIDDDTRYTQFLCPPPSTGLL
SDFSDARFTCPM</t>
  </si>
  <si>
    <t>Aspergillus (STREM chem. Prd. code 06-3135 Novozym 51032)</t>
  </si>
  <si>
    <t xml:space="preserve">(Di Bisceglie vd., 2022) </t>
  </si>
  <si>
    <t>&gt;PP259091.1 Blastobotrys sp. G-9 cutinase (Cut1) gene, complete cds
ATGAAGGCCAATCTGATTCTCGCCTGTGCTTCTGTGGTTGCCGGTGTCTCTGCTGCTCCCCTGGAGCGAC
GAGATGGTGCCTGTTCAAAGTACACCATCATTGATACTCGCGGAACTGGAGAGCTCCAGGGTCCCTCTAC
CGGATTCCTCACCATGAACAGAAACATTCTGTCCGAAGTCCCTGGCGGTGATCAGTATCACACTGTCTAC
CCCGCCGACTGGAGCCAAATCTCCACCCAGGGTACCCTTGACATTGTCAACAAGGTCTACTCCACTCTGG
AGTCGGACCCCAACCACTGCTTTGTGCTGGAGGGATACAGTCAGGGAGCTGCTGCCACCGTTAATGCTCT
GCCCAAACTGACCGGAGACAGCTTCGATGCAGTCAAGGCTGTATTCCTGATCGGCAATCCCATGCACAAG
TCTGGATTGGAATGTAATGTCGACACTCTGGGAGGCAAGTCCACTGCCTACGCTAATGGACTGTCGGTCG
TCCTAGGATCCATCCCTGACGAGTGGGTATCCAAGACCATGGACGTGTGCAACTTTGGAGACGGAGTGTG
CGATACCCTTACTGGAGTCGGTATCACCCTCCAGCATCTCGACTACCCCCTGGATGCCAATGTTCAGAAC
ATGGGCACCGAGTTTGTCGTTAAGGCCTTGACTTCCTAA</t>
  </si>
  <si>
    <t>Bos taurus
Pankreas (Sigma Aldrich C3766)</t>
  </si>
  <si>
    <t>&gt;OP972510.1 Uncultured bacterium clone UMG-SP-2 urethanase gene, partial cds
ATGAGCGAGCTTTCCGCAATCGAAACCGCCGCCGCGATTGCGGGCGGTAGCATGACCGCACTTGAGGCCT
GCGATGCCGCGATCGCGCGCATCGAGCAGCGCGACGGGCCGATCAATGCCGTCGTCGTTCGCGATTTCGA
TCGCGCGCGCGACGCGGCGAAGGCTGCCGATGCCGAGATCGCCGCCGCCGTTCGCAAGCCGCTGCTCGGC
GTGCCGATGACGATCAAGGAATCGTTCGACATTGCGGGGCTGCCGACAAGTTGGGGCTTCGCCGAACATG
CCGATCACATCGCCACTGCCGATTCGCTCGTCGTATCGCGGCTGAAGGCAGCCGGGGCCGTCTTTCTCGG
CAAGAGCAACATTCCCGTCGGACTTGCCGACTGGCAGTCGGTCAACCCCAATTACGGGCGCACCAACAAT
CCGCACGATCATTCGCGCAGCGCCGGCGGCTCATCGGGCGGTGCGGCGGCGGCGCTGGCGGCGGGAATGG
TCCCGCTGGAATATGGCTCCGACATTGGCGGTTCGATCCGCGTGCCGGCCCATTTCTGCGGCGTCTGGGG
TTTGAAGACGACCTTCGACGCAGTCAGTTTGGAAGGTCATTATTTTCCGCGCACCGATAGCGCCAAGGCC
GATCTTTCGGTGGTCGGCCCGATGGCACGGACGCCCGCCGACCTCGCTCTTGCGCTCGATATCACGAGTA
AGGTGCCACTTCCGCAGTCGCGCATCGCAAATCTTTCGGGGCTGCGCATTCTACTGCTGACGGCACATCC
CGAAACGGTCGCCGATAGCGCAACGATATCGGCAGTCGAAAGAGCAGCGGCAGCCTGCGAGGCGAGCGGC
GCGACGGTCGCGACGTCGAGCCCCGACCTGCCCGACCTGTCCGCGCTCGTCGCCGATTATACGCGGATGT
TGCTCGTCGTGCTTGCGCGCGGCCTGGCACCGGAAGGTACCGAGCCGGTCAGTCTGAATGCCTGGTATGC
AATGCTTGACGATCAGGCGCGGATGATGCGCGCCTTCGATCGGCTCTTCGAAAGTTTCGACGCGATTTTC
TGCCCGGTTCTCGGCACCACTGCCTTTGCCCACAGCGACGAACCCGATTGGGCCAAGCGGAGCCTGAGCA
TCGACGGCGGCATTGCGCCCTTCGCGGCGCAACTCGGCTGGATCAGCATGGCGACTTATGGCGGGATGCC
GGCGCTGTCTATGCCGCTCGGCGCTGATGGCAACGGCCTGCCGATCAACCTTCAGATCATCACGCGCAAC
TGGTCCGATCATGATGCGATCAGGATCGGCGCCTTGGTCGCGGAAGCGCTCGACCGT</t>
  </si>
  <si>
    <t>&gt;OP972509.1 Uncultured bacterium clone UMG-SP-1 urethanase gene, partial cds
ATGGCACGCGAACCCACAGCCCTCGCCACCGCCGCCGCGATCCGCTCCGGCGCCACCACCGCACGCGCCG
AAACCGAAGCGGCCATTGCCCGCATCGAAGCGCTCGACGGCGCGATCAACGCAGTCGTTGTCCGCGACTT
CGACCGCGCACTCGCCGCGGCCGACGCGGCTGACGCACGGATACAGGCAGGCGACACCGCCCCGCTGCTA
GGCGTGCCGATGACCGTCAAGGAAGCCTTCGATGTCGAGGGCCTCCCCACCCATTGGGGATTTCGCCAGC
ACGCCGGCAACATCGCCACCTCCGACGCCGAAGCGGTGCGGCGGCTAAAGGCAGCCGGCGCGATCATCCT
GGGCAAGACCAACGTGCCCAAAGGGCTGGGCGACTGGCAGTCGGTCAATTCGATCCACGGCGTCACCAAC
CATCCGCTCGACCCGACCCGCACCCCCGGCGGTAGCTCGGGCGGGTCGGCCGCAGCGCTGGCGAGCGGCA
TGGTCCCGCTCGAACTCGGCAGCGACATCGGCGGGTCGATCCGCATCCCCGCGCATTTCTGCGGCGTCTG
GGGCCTGAAACCAAGCTGGGGAGCGATTTCGAGCCACGGTCACCGCTATCCGGGCACCAACGGCGCCGAA
ACCCCGCTCGGAGTTATCGGCCCGATGGCACGTTCGCCGGACGATCTGGCGGCAATGCTCGACCTGCTCG
CGACCCTGCCGATGCCCCGCGCGAGCCGCCCGCCGCGCCGCGTCCTGGCGATCACCGATCACCCCGCCAT
TCGCACCAGCGCCGTATGCCGCGATGCCGTCGACACCGCCGCCGAGGCGCTGGCCGGGGCCGGCATCGAA
GTGATCCGCAGCACCGACCTGCTCCCCGATCTCGCGCGCCAGCACCACGCCTATGGCCAGATGCTGAGCG
TCGCCTTCGCCCGCTCGGATCCCACCCTGCACGCCAGCCTGCCCAACCTGCTGACCTGGCTGTCATGGCA
GGACGCCCAAGCGCGCAACACGCGCGCCTGGGGCCGCCTGTTCGGCGAAGTCGATGCCGTAATCGCCCCG
CCCGCTGCGACCCAGGCGTTCGCGCACGATCACGCGCCGCAGGCCAATCGCACGCTCGATATCGACGGGG
TCGCATCGCCCTACGACGCGCATCTCGCCTGGGCCGGCGTCGCCACTTATCCCGGCCTGCCCGCGGTCGT
GGTTCCGGTCGGCACCGCCAACGGCCTGCCCGTCGGGGTTCAGGTCATCACCGACTTTCACCGCGACCAC
GACGCGATCGCCACCGCAGCCCTGATCCACCGCCTGACCGAAGGACAACCGGCA</t>
  </si>
  <si>
    <t>&gt;OP972511.1 Uncultured bacterium clone UMG-SP-3 urethanase gene, partial cds
ATGAGCGAGCTTTCCGCAATCGAGACCGCCGCCGCGATTGCGGGCGGTAGCATGACCGCACTTGAGGCCT
GCGATGCCGCGATCGCGCGCATCGAGCAGCGCGACGGGCCGATCAATGCCGTCGTCGTCCGCGATTTCGA
TCGCGCGCGGGAAGCGGCCAAGGCCGCCGATGGAGAGGTCGCGGCGGGCGTATCGAAGCCGCTTCTGGGC
GTGCCCATGACGATCAAGGAATCGATCGATATCGCCGGGCTGCCGACGAGCTGGGGCTTCGCTGAACATG
CCGATCACATCGCGACCGCCGACTCGGTGGTGGTTTCGCGATTGAAGGCAGCGGGGGCGGTGTTTCTCGG
CAAGACCAACATCCCGGTCGCGCTCGCCGACTGGCAGTCGTCCAACCCCAATTACGGCCGCACCAATAAT
CCGCACGATCTGACGCGGAGCGCAGGGGGCTCGTCAGGCGGGGCGGCGGCGGCGCTCGCGGCGGGCATGG
TGCCATTGGAATATGGCTCGGACATTGGCGGTTCGATCCGCGTGCCCGCTCATTTTTGCGGCGTCTGGGG
ATTGAAGACGACCTTCGACGCGGTGAGCCTCGAGGGGCATTATCTTCCGCGCACTGACGGCGCTCGCGGC
GAACTCGGCGTCGTCGGCCCGATGGCGCGCAACCCGCAAGACCTTGCGCTCGCGCTCGACCTGACGAGCC
GGATCGCGCTGCCGATCGCGCGGATCGACACGCTCAACGGCTTGCGCATTCTGCTGCTGACGCATCACCC
CCGGGCTGCCGCCGACAGCGCGGTAGTGGCAGCCGTCGAAAAGGCGGCGGAATCGTGCGCAGCGCAAGGA
GCGCAGGTTTCGACCTCGAACGCCGATCTGCCCGATCTCTCGAAGTTGGTTTCCGATTATACCCGAATGC
TGCTGATCGTGCTCGCGCAAGGCAAGGCCCCGGAAGGTACCGAGCCTGTCAGCCTCAACGCCTGGTACGG
GATGCTCGACGATCAGGCGCGAACTATTCGTGGCTTCGACCGGCTCTTCGATAGCTTCGATGCGATCTTT
TGCCCTGTACTTGGCACCAGCGCGTTTCCGCACTCCGACGAAGCCGATTGGGGCAAGCGGACTCTGACCA
TCGACGGTGCCGATACGCCTTTCGGTTCACAACTCGCCTGGATCAGCATGGCGACCTATTGCGGCATGCC
GGCGCTCTCGATGCCGGTCGGTACGGACGCAAACGGCCTGCCAATCGGTCTGCAGATCATCACGCGCAAC
TGGTCCGACCACGATGCCGTGCGGATCGGCGCCCTGGTTGCAGACGCCTTGGCCGCT</t>
  </si>
  <si>
    <t>GenBank: TPW42647 UniProt: A0A506VA93</t>
  </si>
  <si>
    <t>Candida antarctica - Moesziomyces antarcticus (Pseudozyma antarctica)</t>
  </si>
  <si>
    <t>&gt;Z30645.1 C.antarctica (LF 058) gene for lipase B
ATGAAGCTACTCTCTCTGACCGGTGTGGCTGGTGTGCTTGCGACTTGCGTTGCAGCCACTCCTTTGGTGA
AGCGTCTACCTTCCGGTTCGGACCCTGCCTTTTCGCAGCCCAAGTCGGTGCTCGATGCGGGTCTGACCTG
CCAGGGTGCTTCGCCATCCTCGGTCTCCAAACCCATCCTTCTCGTCCCCGGAACCGGCACCACAGGTCCA
CAGTCGTTCGACTCGAACTGGATCCCCCTCTCAACGCAGTTGGGTTACACACCCTGCTGGATCTCACCCC
CGCCGTTCATGCTCAACGACACCCAGGTCAACACGGAGTACATGGTCAACGCCATCACCGCGCTCTACGC
TGGTTCGGGCAACAACAAGCTTCCCGTGCTTACCTGGTCCCAGGGTGGTCTGGTTGCACAGTGGGGTCTG
ACCTTCTTCCCCAGTATCAGGTCCAAGGTCGATCGACTTATGGCCTTTGCGCCCGACTACAAGGGCACCG
TCCTCGCCGGCCCTCTCGATGCACTCGCGGTTAGTGCACCCTCCGTATGGCAGCAAACCACCGGTTCGGC
ACTCACCACCGCACTCCGAAACGCAGGTGGTCTGACCCAGATCGTGCCCACCACCAACCTCTACTCGGCG
ACCGACGAGATCGTTCAGCCTCAGGTGTCCAACTCGCCACTCGACTCATCCTACCTCTTCAACGGAAAGA
ACGTCCAGGCACAGGCCGTGTGTGGGCCGCTGTTCGTCATCGACCATGCAGGCTCGCTCACCTCGCAGTT
CTCCTACGTCGTCGGTCGATCCGCCCTGCGCTCCACCACGGGCCAGGCTCGTAGTGCAGACTATGGCATT
ACGGACTGCAACCCTCTTCCCGCCAATGATCTGACTCCCGAGCAAAAGGTCGCCGCGGCTGCGCTCCTGG
CGCCGGCAGCTGCAGCCATCGTGGCGGGTCCAAAGCAGAACTGCGAGCCCGACCTCATGCCCTACGCCCG
CCCCTTTGCAGTAGGCAAAAGGACCTGCTCCGGCATCGTCACCCCCTGA</t>
  </si>
  <si>
    <t>UniProt: Q9WX47 GenBank: AB009606</t>
  </si>
  <si>
    <t>&gt;AB009606.1 Comamonas acidovorans pudA gene for polyurethane esterase, complete cds
GTCGCAAGGCGAGCCGGATTGGGATCTGGCAGCTCAACCCGACGAGGTAGACCAGCGCGTCAATTGGTGA
CCCAGTGAAGCGGCGGTATCCATCGCTGCGGGGAAGCAGCTGCGCGCGCGCCAGGCCCAAATGCATACTG
CCTCCCAAGCTCTTGCCATTGAGCGGCAAGCGAGCGCTCAACCTTCCTTGGCCGAACGTGTTTCGAGGCC
CAAAACTCGTGCCATACTTGGCCTCATGCGGTTGAATTTCCTATCCGTGGTAGCATCGTTCGCGCGGAAA
TAAATAAAACAACATTTCGCAGGGTAAAACACATACCAAGATCCTTCAGGAGACATTGAATGAATAGCCG
TTCCCTAACTAAAGCGATCCGATTTCCCACAATTCTTGCACTCGCCGGCTTCAGCGTACTTGGTGCATGC
GGTGGCAGCGACAACGACAGCAGTAGTAACAACCAGGGCGCACCCGCCGTTGCCATTACGGTCGCAGGCC
AGGTCCAGGCTGTGGACCGCCTCGGCATGCGCAGATATTTCGGGATACCTTTTGCCGCGCCTCCGGTGGG
CAACCTGCGCTGGATGCCGCCGGCGCCGCCTCAATCCTGGGCCGCCCCGCTGGCGAAGACCCAGTCTAAT
GCGCCCTGCATGCAAACCGGCGCCACCGATCCCCTCCGCCTGCCCAACGGCACCGAGGACTGCCTCTACC
TCGACGTCCATGCCCCTGCCACCGGCGAAGGCCCCTTCCCTGTCATGGTGTGGATCCACGGCGGCGCCTT
CAGCATCGGCGGCACCATCACCTATGCCGACCCGTCGCCCCTGGTCAGCAAGGGCGTCATCGTTGTCAAC
ATCGCCTACCGCATGGGCGCCATGGGTTTCCTGGGCCATCCGTCGCTGCGCGCCGCGGACGGCACGGTCG
GCAACTACGGCATCATGGACCAGCAGGCAGCACTGCGCTGGGTGCAGGACAATATCGCCGCGTTCGGCGG
CGACAAGTCCAATGTCACCATCTTCGGCGAATCCGCCGGCGGCTTCAGCGTGATGACACACCTGGCGTCA
CCGCTATCCAAGGGTCTGTTCGCCAAGGCCATCGTCCAAAGCGGCGGCTACGGATTCGATCGCCAGCTGA
CACAGGCGCAGCTTGAAGCGCAGAGCACGTCGATCGTCAACAGCGCGCTGGCCGCAGCCGGCGTTAGCTG
CCCCACCGTCGACGCGGCATGTTTGCGCGGCTTGTCCGCCGAGCTTGTCAACAACCAGCTCGCGACCGCA
TTCACCACGGCCAACTGGAGCCCCGTGCCTTCGGTGGATGGCAAGGTTTTGCCCAAGTCCATCAAGGCGA
CTTTCGTCGCCGGGGAGAACAACAAGGTGCCGCTGGTCAATGGCTCCAACCAAGACGAGTGGTCGTACTT
CGTTGCATCGCGCGAACTGGTGGCGGGGCCGCTGACCGCTGCCCAGTACCCTTCCTATCTGCAGACCTCG
CTCGGTCTGCCACCATCGCTCGCCACGGTATATCCACTGACGGATTACGGCACCAATACCGCGCAGCAAC
CCAGCCTCGCGGCGACGGCGGCCGGCACCGACATGCACTTTTCCTGTCCGGCGTTGAACCTGTCGAAGCG
GGTACTGAGCCAGGCAACGCCAATCTTCATGTACGAGTTCCGGGACCGGACTGCGATCCCGTCGATCGGC
CGCAACACTATCAGTTTCAACCAGGGGGCAGGTCACACGTATGAGCTCCAGTACCTGTTCAACCTGCGTG
ACCTGGAGACCGCGGAACACCGCGACCTGCAGGCCAGCATGGCACGCTACTGGACCAACTTTGCCCGCAC
CAGCAATCCGAATAATGGCGACCCGGTGGCGACGTCATGGCCTGCATTTACGGGACCGACCAAGGTGCTC
GGACTGGACGTCGCCTCCGCTGGCGGCATCAGGGAACTGGCCACGTTCGAGACCGACCACAAGTGCAACA
CGGCCTGGACATCACTGACTTTTTGATCAAGCCCTGGCGCAGCATGGCCCGCTTCGGCGGGCCTTTTTTA
TTGCACCGCATGACGTTTGGGACGCAAGTCATTCCTTCGGGATACTCGCGCAGTCGGCCCTGGACCATTT
CCAGTTCCTGACACACCAGATGAGACCGTTGGTTTTCTCTGGCAAGGGCATCGCGGGAAATTCGGGCAGC
ATGC</t>
  </si>
  <si>
    <t>&gt;FR727681.1 Thermobifida fusca partial cut-2.KW3 gene for cutinase
GCCAACCCCTACGAGCGCGGCCCCAACCCGACCGACGCCCTGCTCGAAGCCCGCAGCGGCCCCTTCTCCG
TCAGCGAGGAGAACGTCTCCCGGTTGAGCGCCAGCGGCTTCGGCGGCGGCACCATCTACTACCCGCGGGA
GAACAACACCTACGGTGCGGTGGCGATCTCCCCCGGCTACACCGGCACTGAGGCTTCCATCGCCTGGCTG
GGCGAGCGCATCGCCTCCCACGGCTTCGTCGTCATCACCATCGACACCATCACCACCCTCGACCAGCCGG
ACAGCCGGGCAGAGCAGCTCAACGCCGCGCTGAACCACATGATCAACCGGGCGTCCTCCACGGTGCGCAG
CCGGATCGACAGCAGCCGACTGGCGGTCATGGGCCACTCCATGGGCGGCGGCGGCAGCCTGCGTCTGGCC
TCCCAGCGTCCCGACCTGAAGGCCGCCATCCCGCTCACCCCGTGGCACCTCAACAAGAACTGGAGCAGCG
TCACCGTGCCGACGCTGATCATCGGGGCCGACCTCGACACGATCGCGCCGGTCGCCACGCACGCGAAACC
GTTCTACAACAGCCTGCCGAGCTCCATCAGCAAGGCCTACCTGGAGCTGGACGGCGCAACCCACTTCGCC
CCGAACATCCCCAACAAGATCATCGGCAAGTACAGCGTCGCCTGGCTCAAGCGGTTCGTCGACAACGACA
CCCGCTACACCCAGTTCCTCTGCCCCGGACCGCGCGACGGACTCTTCGGCGAGGTCGAAGAGTACCGCTC
CACCTGCCCGTTCTAG</t>
  </si>
  <si>
    <t>&gt;AEV21261.1 LCC [uncultured bacterium]
MDGVLWRVRTAALMAALLALAAWALVWASPSVEAQSNPYQRGPNPTRSALTADGPFSVATYTVSRLSVSG
FGGGVIYYPTGTSLTFGGIAMSPGYTADASSLAWLGRRLASHGFVVLVINTNSRFDYPDSRASQLSAALN
YLRTSSPSAVRARLDANRLAVAGHSMGGGGTLRIAEQNPSLKAAVPLTPWHTDKTFNTSVPVLIVGAEAD
TVAPVSQHAIPFYQNLPSTTPKVYVELDNASHFAPNSNNAAISVYTISWMKLWVDNDTRYRQFLCNVNDP
ALSDFRTNNRHCQ</t>
  </si>
  <si>
    <t>PDB: 4EB0_A GenBank: HQ704839.1</t>
  </si>
  <si>
    <t>&gt;HQ704839.1 Uncultured bacterium clone pCC1FosLCC/EPI300T1 LCC gene, complete cds
CCCGTCGATCCGGAGCTGTACATCAATTTCCGCTAGCGCTGGATCCGCAGTTTCGGACGCCGACGTCGGT
CAGGAGAACGCCGCGCCTTCGCGAGTTGACGGTGCCGAGCTACAGGGCGGTGCCGTATTCGTCGGCGCGG
GCGAAGGATTCGGCCGCAGCCCAACGCTTCGTGCACCCCTAATTTGGCTATCGCTCAGCGATTTTTCATA
CGCCGTACCTATTGACGATCCGGGAAAACCCTGATAAAAGTTCGGGCCGGCTCGGTCGATCCCGGTTCGC
GACTGAGCGGAACCTTCGGAACGAGGAGGAGTTTCCCATGGACGGAGTTCTCTGGCGAGTGCGAACCGCG
GCGCTCATGGCCGCGCTGCTCGCCCTCGCAGCCTGGGCGCTGGTCTGGGCTTCGCCCAGCGTCGAGGCTC
AATCCAACCCGTACCAGCGCGGTCCCAACCCCACGCGGAGCGCGCTCACGGCCGACGGGCCGTTCTCGGT
GGCAACCTACACCGTTTCGCGGCTCTCGGTGAGCGGCTTCGGGGGCGGGGTGATCTACTACCCCACAGGC
ACCTCGCTGACCTTCGGCGGGATCGCCATGTCGCCGGGGTACACGGCCGACGCCAGTTCGCTGGCGTGGC
TCGGGCGGCGGTTGGCATCGCACGGCTTCGTGGTGCTCGTCATCAACACGAACTCGCGATTCGACTACCC
TGACTCCCGCGCAAGCCAGCTATCGGCGGCGCTGAACTACCTGCGGACGAGCAGCCCCTCAGCCGTACGC
GCCCGGCTCGATGCGAACCGCCTGGCCGTTGCGGGGCATTCGATGGGCGGCGGCGGGACCCTCCGCATCG
CAGAGCAGAACCCGTCGCTGAAAGCGGCCGTACCGCTCACGCCGTGGCACACCGACAAGACGTTCAACAC
GTCGGTACCGGTGCTCATCGTGGGAGCGGAAGCGGACACGGTCGCGCCCGTGAGCCAGCACGCCATTCCG
TTCTACCAGAACTTGCCCTCGACCACGCCGAAGGTGTACGTGGAGCTCGACAATGCGTCGCACTTCGCGC
CCAACAGCAACAACGCGGCGATCTCCGTGTACACCATCTCGTGGATGAAGCTGTGGGTGGATAACGACAC
CCGCTACCGGCAGTTCCTCTGCAACGTGAACGATCCGGCGCTGAGCGACTTCCGGACGAACAACCGCCAC
TGCCAGTAGTCGATCCTGTTCGGCGTGGTGGCCGCCGGGGCGTGCCGGGGCGCCCCGGCGGCTGCGCTGC
GATCTAGACTCGTGCCGCACACACGCTGACTGCTGCAGAGGAGGGCACGATGGGTCACCTCGAGGGGAAG
ACCGCCGTCATCACCGGCGCCGGCCGGGGGATCGGCCGGGAGATTGCGCTGCTCTTCGCGAAGGAGGGCG
CACGGGTAGTCGTCAACGATTTGGGGACATCGGTAGCGGGTGAGGGTTCAGACACGCGACCCGCCGANGA
GGTCGTGGAGGAGATTCGCGCCTTCGGCGGAGAAGCGATCCCGGACTTCGGTGACGTGTCGGACGTCGAC
CAGGCGGAGGCGCTCATCCGGAAAGCGCTCGATGCCTGGGGCAAGCTCGACATCCTCNTGAACTGCGCCG
GGATCCTG</t>
  </si>
  <si>
    <t>&gt;OR245267.1 Cladosporium sp. strain P7 cutinase mRNA, complete cds
ATGAAGTTCACTACAGCCGTTGCTCTCCTCGCCGGTACCGCCGTCGCCCTCCCGACCGCTGTCGAGCGTA
GACAGTCTGTTGGCTCGACCGTGAACGAGCTTGTCAGCGGCAATTGCCGTCCTATCACATTCATCTTTGC
TCGTGGATCCACCGAAATTGGCAACATCGGTTCTTCCGTTGGCCCCCCTACTTGCCAGGGCCTAAAGTCC
ACCTACGGCGCCAATAATGTCGCCTGCCAAGGTGTTGGAAGCCCCTACGATGCCACCCTTGCAGCAAACC
TTCTTCCCGAAGGCACCACGAGTGCTGCCTACGGCGAGGCCCAGCGCCTCTTCAACCTCGCAAACACAAA
ATGTCCAAACACGAAAATCGTCGCTGGAGGCTACTCTCAAGGCGCGGCTGTCATGGTCGCTTCCGTCAGG
CGTCTCTCCACTGCTGTCAAGAACAAGATCGCCGGTGTCGTGCTTTACGGTAACACTCGCAACGCGCAGG
AGGGTGGCAAGATCCCCAGCTTCCCCCCCGAGAAGGCACTTACCATCTGCAACGCTTCCGACGGTGTCTG
CGGTGGTGGCCTTGTTGTCACTCCTGGCCACCTTACCTACCAGGTCGATGTTCCCAAGGCTGTCGACTAC
CTTGAGTCGCGCATCGCTGCTGCTGGTGGCATCTAA</t>
  </si>
  <si>
    <t>&gt;WKA69984.1 cutinase [Cladosporium sp.]
MKFTTAVALLAGTAVALPTAVERRQSVGSTVNELVSGNCRPITFIFARGSTEIGNIGSSVGPPTCQGLKS
TYGANNVACQGVGSPYDATLAANLLPEGTTSAAYGEAQRLFNLANTKCPNTKIVAGGYSQGAAVMVASVR
RLSTAVKNKIAGVVLYGNTRNAQEGGKIPSFPPEKALTICNASDGVCGGGLVVTPGHLTYQVDVPKAVDY
LESRIAAAGGI</t>
  </si>
  <si>
    <t>GenBank: OR245267.1 GenBank: WKA69984.1</t>
  </si>
  <si>
    <t>&gt;XAQ58225.1 cutinase [Blastobotrys sp. G-9]
MKANLILACASVVAGVSAAPLERRDGACSKYTIIDTRGTGELQGPSTGFLTMNRNILSEVPGGDQYHTVY
PADWSQISTQGTLDIVNKVYSTLESDPNHCFVLEGYSQGAAATVNALPKLTGDSFDAVKAVFLIGNPMHK
SGLECNVDTLGGKSTAYANGLSVVLGSIPDEWVSKTMDVCNFGDGVCDTLTGVGITLQHLDYPLDANVQN
MGTEFVVKALTS</t>
  </si>
  <si>
    <t>GenBank: PP259091.1 GenBank: XAQ58225.1</t>
  </si>
  <si>
    <t>&gt;AAA56788.1 cholesterol esterase, partial [Bos taurus]
LGASRLGPSPGCLAVASAAKLGSVYTEGGFVEGVNKKLSLFGDSVDIFKGIPFAAAPKALEKPERHPGWQ
GTLKAKSFKKRCLQATLTQDSTYGNEDCLYLNIWVPQGRKEVSHDLPVMIWIYGGAFLMGASQGANFLSN
YLYDGEEIATRGNVIVVTFNYRVGPLGFLSTGDSNLPGNYGLWDQHMAIAWVKRNIEAFGGDPDNITLFG
ESAGGASVSLQTLSPYNKGLIKRAISQSGVGLCPWAIQQDPLFWAKRIAEKVGCPVDDTSKMAGCLKITD
PRALTLAYKLPLGSTEYPKLHYLSFVPVIDGDFIPDDPVNLYANAADVDYIAGTNDMDGHLFVGMDVPAI
NSNKQDVTEEDFYKLVSGLTVTKGLRGANATYEVYTEPWAQDSSQETRKKTMVDLETDILFLIPTKIAVA
QHKSHAKSANTYTYLFSQPSRMPIYPKWMGADHADDLQYVFGKPFATPLGYRAQDRTVSKAMIAYWTNFA
RTGDPNTGHSTVPANWDPYTLEDDNYLEINKQMDSNSMKLHLRTNYLQFWTQTYQALPTVTSAGASLLPP
EDNSQASPVPPADNSGAPTEPSAGDSEVAQMPVVIGF</t>
  </si>
  <si>
    <t>PDB: 2BCE GenBank: AAA56788.1 GenBank: M28402.1</t>
  </si>
  <si>
    <t>&gt;M28402.1 Bos taurus cholesterol esterase mRNA, 3' end of cds
GCTGGGAGCTAGCCGTCTTGGGCCGTCGCCTGGCTGCTTGGCAGTAGCGAGTGCAGCGAAGTTGGGCTCC
GTATACACCGAAGGCGGCTTCGTGGAGGGCGTCAACAAGAAGCTGAGCCTCTTTGGCGACTCTGTTGACA
TCTTCAAGGGCATCCCCTTCGCTGCCGCCCCCAAGGCCCTGGAGAAGCCCGAGCGACACCCCGGCTGGCA
AGGGACCCTGAAGGCCAAGAGCTTTAAGAAACGGTGCCTGCAGGCCACGCTCACGCAGGACAGCACCTAC
GGAAATGAAGACTGCCTCTACCTCAACATCTGGGTCCCCCAGGGCAGGAAGGAAGTCTCCCACGACCTGC
CCGTCATGATCTGGATCTATGGAGGCGCCTTCCTCATGGGGGCCAGCCAAGGGGCCAACTTTCTCAGCAA
CTACCTCTACGACGGGGAGGAGATTGCCACACGGGGCAACGTCATCGTGGTCACGTTCAACTACCGCGTT
GGGCCCCTGGGCTTTCTCAGCACCGGGGACTCCAACCTGCCAGGTAACTATGGCCTTTGGGATCAGCACA
TGGCCATTGCTTGGGTGAAGAGGAACATTGAGGCCTTCGGAGGAGACCCCGACAACATCACCCTCTTTGG
GGAGTCGGCCGGAGGCGCCAGCGTCTCTCTGCAGACCCTCTCTCCCTACAACAAGGGCCTCATCAAGCGA
GCCATCAGCCAGAGTGGAGTGGGTTTGTGCCCTTGGGCCATCCAGCAGGACCCCCTCTTCTGGGCTAAAA
GGATTGCAGAGAAGGTGGGCTGCCCCGTGGACGACACCAGCAAGATGGCTGGGTGTCTGAAGATCACTGA
CCCCCGTGCCCTGACGCTGGCCTATAAGCTGCCCCTGGGAAGCACGGAATACCCCAAGCTGCACTATCTG
TCCTTCGTCCCCGTCATCGATGGAGACTTCATCCCTGATGACCCCGTCAACCTGTACGCCAACGCCGCGG
ACGTCGACTACATAGCGGGCACCAATGACATGGACGGCCACCTCTTTGTCGGGATGGACGTGCCAGCCAT
CAACAGCAACAAACAGGACGTCACGGAGGAGGACTTCTATAAGCTGGTCAGCGGGCTCACCGTCACCAAG
GGGCTCAGAGGTGCCAATGCCACGTACGAGGTGTACACCGAGCCCTGGGCCCAGGACTCATCCCAGGAGA
CCAGGAAGAAGACCATGGTGGACCTGGAGACTGACATCCTCTTCCTGATCCCCACAAAGATTGCCGTGGC
CCAGCACAAGAGCCACGCCAAGAGCGCCAACACCTACACCTACCTGTTCTCCCAACCGTCTCGGATGCCC
ATCTACCCCAAGTGGATGGGGGCTGACCACGCCGATGACCTCCAGTATGTCTTCGGGAAGCCCTTCGCCA
CCCCCCTGGGCTACCGGGCCCAAGACAGGACTGTCTCCAAGGCCATGATTGCCTACTGGACCAACTTTGC
CAGAACTGGGGACCCTAACACGGGCCACTCGACAGTGCCCGCAAACTGGGATCCCTACACCCTGGAAGAT
GACAACTACCTGGAAATCAACAAGCAGATGGACAGCAACTCTATGAAGCTGCATCTGAGGACCAACTACC
TGCAGTTCTGGACCCAGACCTACCAGGCCCTGCCCACGGTGACCAGCGCGGGGGCCAGCCTGCTGCCCCC
CGAGGACAACTCTCAGGCCAGCCCCGTGCCCCCAGCGGACAACTCCGGGGCTCCCACCGAACCCTCTGCG
GGTGACTCTGAGGTGGCTCAGATGCCTGTCGTCATTGGTTTCTAATGTCCTTGGCCTCCAGGGGCCACAG
GAGACCCCAGGGCCCACTTCCCTCCCAAGTGCCTCCTGAATAAAGCCTCAACCATCTC</t>
  </si>
  <si>
    <t>PDB: 8S7Z_A GenBank: OP972509.1 GenBank: WBR49956.1</t>
  </si>
  <si>
    <t>&gt;WBR49956.1 urethanase, partial [uncultured bacterium]
MAREPTALATAAAIRSGATTARAETEAAIARIEALDGAINAVVVRDFDRALAAADAADARIQAGDTAPLL
GVPMTVKEAFDVEGLPTHWGFRQHAGNIATSDAEAVRRLKAAGAIILGKTNVPKGLGDWQSVNSIHGVTN
HPLDPTRTPGGSSGGSAAALASGMVPLELGSDIGGSIRIPAHFCGVWGLKPSWGAISSHGHRYPGTNGAE
TPLGVIGPMARSPDDLAAMLDLLATLPMPRASRPPRRVLAITDHPAIRTSAVCRDAVDTAAEALAGAGIE
VIRSTDLLPDLARQHHAYGQMLSVAFARSDPTLHASLPNLLTWLSWQDAQARNTRAWGRLFGEVDAVIAP
PAATQAFAHDHAPQANRTLDIDGVASPYDAHLAWAGVATYPGLPAVVVPVGTANGLPVGVQVITDFHRDH
DAIATAALIHRLTEGQPA</t>
  </si>
  <si>
    <t>&gt;WBR49957.1 urethanase, partial [uncultured bacterium]
MSELSAIETAAAIAGGSMTALEACDAAIARIEQRDGPINAVVVRDFDRARDAAKAADAEIAAAVRKPLLG
VPMTIKESFDIAGLPTSWGFAEHADHIATADSLVVSRLKAAGAVFLGKSNIPVGLADWQSVNPNYGRTNN
PHDHSRSAGGSSGGAAAALAAGMVPLEYGSDIGGSIRVPAHFCGVWGLKTTFDAVSLEGHYFPRTDSAKA
DLSVVGPMARTPADLALALDITSKVPLPQSRIANLSGLRILLLTAHPETVADSATISAVERAAAACEASG
ATVATSSPDLPDLSALVADYTRMLLVVLARGLAPEGTEPVSLNAWYAMLDDQARMMRAFDRLFESFDAIF
CPVLGTTAFAHSDEPDWAKRSLSIDGGIAPFAAQLGWISMATYGGMPALSMPLGADGNGLPINLQIITRN
WSDHDAIRIGALVAEALDR</t>
  </si>
  <si>
    <t>&gt;ASK40094.1 cutinase, partial [synthetic construct]
MQLGAIENGLESGSANACPDAILIFARGSTEPGNMGITVGPALANGLESHIRNIWIQGVGGPYDAALATN
FLPRGTSQANIDEGKRLFALANQKCPNTPVVAGGYSQGAALIAAAVSELSGAVKEQVKGVALFGYTQNLQ
NRGGIPNYPRERTKVFCNVGDAVCTGTLIITPAHLSYTIEARGEAARFLRDRIRA</t>
  </si>
  <si>
    <t>GenBank: DD291329</t>
  </si>
  <si>
    <t>&gt;DD291329.1 Novel urethanase gene
ATGAACACATCGGGTCTGGGGTGGATGTCGGCAACCGAGATGGCCGCACAGGTCGCCTCGAAGAAGTTGT
CGCCCAACGAGATCGCGGAGGAGATGATCCGTCGGGTCGGCGAGGTCAATCCGTCCGTCAACGCGATCGT
GCACTTCGACGCCGACCAGGTGCGTCGGGACGCCGGCGAACTGACACGCGCGCAGGACAGCGGCGAACCG
TTGGGTCCGTTGCACGGCGTCCCGTTCACGATCAAGGACCTCACCGACGTCCGAGGCCTCCCGACGACGT
TCGGCCTGAAGCCCATGCGCGACAACATCGCCGAGCGCGATGCGGTGATCGTGACCCGGCTGCGGCAGGC
CGGTGGCCTCTACCTCGGTAAGACCAACACCCCCGAGAGCGGCTACTACGGCGGCACCGACAACCACCTG
TTCGGCCCCACCCACAACCCGTGGAAGCCCGGCCACAGTGCCGGTGGATCCAGCGGTGGTGCTGCCGCGG
CCGTCGCTGCCGGACTGGGCCCGCTGGCCGAGGGCAGCGACGGCGCCGGGTCGGTGCGGATCCCGTCGGC
GCTGTGCGGCGTCGTCGGACTCAAGCCGACGACCGGCGTGATCCCGCAGACGATCCTGCCAGGCCGCTAC
AACAACTGGGCCTACCACGGCCCTATCACCCGGACCGTCGCCGACAACGCGCTGATGCTCGACGTCCTTG
CCGGGCCCGATCATTCGGATCCGCTCAGCATCGAGCGCGTCGAGTCGTCGTACGTCGAGGCGGCGCGGGG
CGGCATCGACGGACTGCGGGTCGCGTGGTCGCCGAACCTCGGCCTCGGCCACGTGGAACCGGATGTCGCG
GCGGTGTGTGCCGAGGCGGTCGCGTGCTTCGAGGACATGGGCGCCAAGGTCGTCGAGGCGACGCCGGACT
GGGGTGACCCGTCGGAGGCGATGTGGCACGGCATCTGGGTGCCCGGATTCGCCGGCGAGCACGACATGCT
CGACTGGGACTCGCTGCACGGCCAGGTCGACGACAACCTGATCGAACTGATCCACGAGGGCCGTCGCCTC
ACCGGGGTGGACTACGGTCGCGCCGACGCGTTCCGCGGCCGGATGTGGGACACCTGGACCGAGTTCATGA
ACGACTACGACGTCCTGATCTCGCCGACCCTCGCGTCCGCGACGTTCCCGCTGACCCAGTTCGCGCCCGA
CTGGCTGCAGGGCAAGTCGCTGCGCGAGCAGTTGCTCGACTGGCTGCTGACCTACCCGTACAACATGCTG
AACAATCCGGCGATCACGGTGCCGGCCGGATTCACCGCGGACGGGCGACCCGTCGGCCTGCAGATCGCGG
CGCGGCACCGGCAGGACGCCCTGGTGCTGCGGGTCGCGGCCAACCTCGAGCAGGCGCGGCCGTGGGCGGA
CCGTCGTCCTGTGGCGTAG</t>
  </si>
  <si>
    <t>PDB: 4OYY UniProt: A0A075B5G4 GenBank: ASK40094.1</t>
  </si>
  <si>
    <t>&gt;AAF66684.1 polyurethanase lipase A [Pseudomonas fluorescens]
MAITLYSYHNLDNGFAVGYQNNGLGLGLPATLVSALIGGSNAQGVIPGIPWNPDSEKPALEAVQAAGWTP
ISASTLGYTARSMHAAPTLAKNSATARRRPRCWASTMTLATAGNRHQFPRHFRASGKCDHRLHRRCDQRP
ARRLRAQGLCQELRGGGFWRVAQRLADTPLPGLGGNDVVVSGHSLGGMAVNSMADLSDSTWSGFYKDANY
LAYASPTQSAGDKVLNVGYENDPVFRALDGSSFNLSSLGVHDKAHESSTDNIVSLNDHYASSLWNVLPFS
ILNLPTWVSHLPTGYGDGMTRILDSGFYEQMTRDSTVIVANLSDPARATTWVQDLNRNAEAHKGNTFIIG
SDGDDFIKGGRGADFIEGGKGNDTIRDSSGHNTFLFSGQFGNDRVIGYQATDKLVFNDVAGSTDYRDHVK
VVGGDTVIGFGTDSVTLVGVSSLSGEGIVIS</t>
  </si>
  <si>
    <t>GenBank: AF144089.1 UniProt: Q9LAB9 GenBank: AAF66684.1</t>
  </si>
  <si>
    <t>&gt;AAD22743.1 polyurethanase esterase A [Pseudomonas chlororaphis]
MGVFDYKNFTASDSKALFSDALAITLYSYHNIDNGFAEGYQHNGFGLGLPATLVTALIGSGNSQGVIPGI
PWNPDSEKAALDALHQAGWSTISAQQLGYDGKVDGRGTFFGEKAGYGTAQVEILGKYDAQGHLESIGIAF
RGTSGPRESVISDTIGDVINDLLAALGPKDYAKNYAGEAFGKLLGDVAAFAQANGLSGKDVLVSGHSLGG
LGVNSLADLSSERWSGFYKDSNYIAYASPTQSASDKVLNIGYENDPVFRALDGSTFNLSSLGVHDAHQDS
ATNNIVNFNDHYASTLWNVLPSSILNIPTWLSHLPTGYGDGLSRVLESKFYDFTSKDSTIVVANLSDPAR
ASTWVQDLNRNAETHKGSTFIIGSDGNDLIQGGSGNDYLEGRAGNDTFRDSGGYNIILGGQGSNTLDLQQ
SVKNYSFASDGAGTLYLRDANGGISMTRDIGAIQSKEPGFLWGLFKDDVIHQVTDQGLKAGGQLTQYASS
VRGDAGDNVLKAHAGGDWLFGLDGNDHLIGGQGNDVFVGGAGNDLMEAGGGNNTFLFTGHFGQDRILGYQ
GGDKLVFMGVSGVLPDQDYRAHASSSGNDTVLTFGQDSVTLVGVSLEHLNGSGIVLA</t>
  </si>
  <si>
    <t>GenBank: AF069748 UniProt:Q9X3C0 GenBank: AAD22743.1</t>
  </si>
  <si>
    <t>&gt;AAF01331.1 polyurethanase esterase B [Pseudomonas chlororaphis]
MSMSIFDYKTALGGDGKALYSEAITLALYASTPTGEALPGTAWRPISVSQLGYQGNVSAQGTISGEQAIV
SDAQSRCWANTTRPGSCCPSASSFRGTRQPQGRYQRLAGGLRVGLLPTTTSRLAFDNLLGKVAAFAAAQG
LSGSDVLVTGHSLGGLGGQPRGGHEQRSLGRLLPGRQLLGFASPTQSANSSQVLNIGYETTRCSAPWTAL
ISTALSLGTHWQAPGVATNNIVSFTDHYSSFLGEVDSPEHPQSAVLVGPQCGGLRRGLNRLINSDFYDLT
SRDSTVVISNLSEGKRDQVWVKDLNLYAEKHTGSTFIIGTQSNDLLHGGKGNDYLDGGAGDDRFRDDGGY
NIIHGGQGHNVLELQQPLKNFSIANDGDGTLYIRDAYGGISMTRDVGALVSHETGSWWQLFGKDVSHSVT
ADGLQNGNQWTAYNHSLNGDAYGNALVASVDGDWLFGHGGDDLLSSDKANVTFVGGTGNDVMHSSGGGGN
TFLFSGNFGFDLIHGYQNTDKLVFMGVPGVDAHYDYSQHLSQNGNDTLVQVFGEFLRVNPWWGSAWTSLS
GSGLVFA</t>
  </si>
  <si>
    <t>GenBank: AF188366 UniProt:Q9R9H2 GenBank: AAF01331.1</t>
  </si>
  <si>
    <r>
      <t xml:space="preserve">Mixta tenebrionis </t>
    </r>
    <r>
      <rPr>
        <sz val="9"/>
        <rFont val="Arial"/>
        <family val="2"/>
        <charset val="162"/>
      </rPr>
      <t>BIT-26</t>
    </r>
  </si>
  <si>
    <r>
      <t>Comamonas acidovorans</t>
    </r>
    <r>
      <rPr>
        <sz val="9"/>
        <rFont val="Arial"/>
        <family val="2"/>
        <charset val="162"/>
      </rPr>
      <t xml:space="preserve"> TB-35</t>
    </r>
  </si>
  <si>
    <r>
      <t xml:space="preserve">Thermobifida fusca </t>
    </r>
    <r>
      <rPr>
        <sz val="9"/>
        <rFont val="Arial"/>
        <family val="2"/>
        <charset val="162"/>
      </rPr>
      <t>KW3</t>
    </r>
  </si>
  <si>
    <r>
      <t xml:space="preserve">Cladosporium sp. </t>
    </r>
    <r>
      <rPr>
        <sz val="9"/>
        <rFont val="Arial"/>
        <family val="2"/>
        <charset val="162"/>
      </rPr>
      <t>P7</t>
    </r>
  </si>
  <si>
    <r>
      <t xml:space="preserve">Blastobotry sp. </t>
    </r>
    <r>
      <rPr>
        <sz val="9"/>
        <rFont val="Arial"/>
        <family val="2"/>
        <charset val="162"/>
      </rPr>
      <t>G-9</t>
    </r>
  </si>
  <si>
    <r>
      <t xml:space="preserve">Rhodococus equi </t>
    </r>
    <r>
      <rPr>
        <sz val="9"/>
        <rFont val="Arial"/>
        <family val="2"/>
        <charset val="162"/>
      </rPr>
      <t>TB-60</t>
    </r>
  </si>
  <si>
    <t>&gt;ACY96861.1 Triacylglycerol lipase [Thermomonospora curvata DSM 43183]
MSLRKSFGLLSATAALVAGLVAAPPAQAAANPYQRGPDPTESLLRAARGPFAVSEQSVSRLSVSGFGGGR
IYYPTTTSQGTFGAIAISPGFTASWSSLAWLGPRLASHGFVVIGIETNTRLDQPDSRGRQLLAALDYLTQ
RSSVRNRVDASRLAVAGHSMGGGGTLEAAKSRTSLKAAIPIAPWNLDKTWPEVRTPTLIIGGELDSIAPV
ATHSIPFYNSLTNAREKAYLELNNASHFFPQFSNDTMAKFMISWMKRFIDDDTRYDQFLCPPPRAIGDIS
DYRDTCPHT</t>
  </si>
  <si>
    <t>&gt;WBR49958.1 urethanase, partial [uncultured bacterium]
MSELSAIETAAAIAGGSMTALEACDAAIARIEQRDGPINAVVVRDFDRAREAAKAADGEVAAGVSKPLLG
VPMTIKESIDIAGLPTSWGFAEHADHIATADSVVVSRLKAAGAVFLGKTNIPVALADWQSSNPNYGRTNN
PHDLTRSAGGSSGGAAAALAAGMVPLEYGSDIGGSIRVPAHFCGVWGLKTTFDAVSLEGHYLPRTDGARG
ELGVVGPMARNPQDLALALDLTSRIALPIARIDTLNGLRILLLTHHPRAAADSAVVAAVEKAAESCAAQG
AQVSTSNADLPDLSKLVSDYTRMLLIVLAQGKAPEGTEPVSLNAWYGMLDDQARTIRGFDRLFDSFDAIF
CPVLGTSAFPHSDEADWGKRTLTIDGADTPFGSQLAWISMATYCGMPALSMPVGTDANGLPIGLQIITRN
WSDHDAVRIGALVADALAA</t>
  </si>
  <si>
    <t>GenBank: OP972511.1 GenBank(Protein): WBR49958.1  PDB: 9FVF_A</t>
  </si>
  <si>
    <t>&gt;sp|Q6A0I4|PETH2_THEFU Cutinase cut2 OS=Thermobifida fusca OX=2021 GN=cut2 PE=1 SV=1
MAVMTPRRERSSLLSRALQVTAAAATALVTAVSLAAPAHAANPYERGPNPTDALLEASSG
PFSVSEENVSRLSASGFGGGTIYYPRENNTYGAVAISPGYTGTEASIAWLGERIASHGFV
VITIDTITTLDQPDSRAEQLNAALNHMINRASSTVRSRIDSSRLAVMGHSMGGGGTLRLA
SQRPDLKAAIPLTPWHLNKNWSSVTVPTLIIGADLDTIAPVATHAKPFYNSLPSSISKAY
LELDGATHFAPNIPNKIIGKYSVAWLKRFVDNDTRYTQFLCPGPRDGLFGEVEEYRSTCP
F</t>
  </si>
  <si>
    <t>PDB: 4CG(1,2,3) UniProt: Q6A0I4 GenBank: FR727681.1 GenBank:CBY05530.1</t>
  </si>
  <si>
    <t>PDB: 8GZD_A GenBank: ACY96861.1  UniProt:D1A9G5</t>
  </si>
  <si>
    <t>GenBank: OP972510.1 GenBank: WBR49957.1 PDB:9FZV</t>
  </si>
  <si>
    <t>GenBank: CAA83122.1 GenBank: Z30645.1 PDB:1TCA</t>
  </si>
  <si>
    <t>Excluded due to lack of information in the literature since it was a commercial enzyme</t>
  </si>
  <si>
    <t>Excluded Enzymes</t>
  </si>
  <si>
    <t>Cleaved Bond</t>
  </si>
  <si>
    <t>Ester</t>
  </si>
  <si>
    <t>Ester, Urethane, Amide</t>
  </si>
  <si>
    <t>Urethane</t>
  </si>
  <si>
    <t>CPUTNase</t>
  </si>
  <si>
    <t>AmdA</t>
  </si>
  <si>
    <t>Candida parapsilosis NBRC 708</t>
  </si>
  <si>
    <t>PurH</t>
  </si>
  <si>
    <t>Aeromicrobium
sp. LTX1</t>
  </si>
  <si>
    <t>amdS</t>
  </si>
  <si>
    <t>Amidase</t>
  </si>
  <si>
    <t>Aspergillus oryzae</t>
  </si>
  <si>
    <t>Q12559</t>
  </si>
  <si>
    <t>86% polyester PU foam in 14 days</t>
  </si>
  <si>
    <t>yeast</t>
  </si>
  <si>
    <r>
      <t>Masaki K, Mizukure T, Kakizono D, Fujihara K, Fujii T, Mukai N. New urethanase from the yeast Candida parapsilosis. </t>
    </r>
    <r>
      <rPr>
        <i/>
        <sz val="9"/>
        <color rgb="FF212121"/>
        <rFont val="Arial"/>
        <family val="2"/>
        <charset val="162"/>
      </rPr>
      <t>J Biosci Bioeng</t>
    </r>
    <r>
      <rPr>
        <sz val="9"/>
        <color rgb="FF212121"/>
        <rFont val="Arial"/>
        <family val="2"/>
        <charset val="162"/>
      </rPr>
      <t>. 2020;130(2):115-120. doi:10.1016/j.jbiosc.2020.03.005</t>
    </r>
  </si>
  <si>
    <t>&gt;sp|Q9AHE8|AMDA_RHIRD Urethanase OS=Rhizobium radiobacter OX=358 GN=amdA PE=1 SV=1
MSLGPELATKEQIREIAADYGLPMTDEEVADHIELLKGAIASYRELEHIPERKLPVKYPR
TPGWRPTTQENPLNGWYWRCEIEGAKEGPLKGDRIAIKDVVCVAGVPMMNGSKLLEGYVP
EIDATIVTRMLDAGATIVGKSACEDFSFSAGGMTCSTGPVGNPYDPTRNPGASSNGSAVL
ISTGQVDLAIGGDQGGSIRLPSAWCGVYGLKPTYGLVPYTGCAMIEGTLDHVGPMASSPK
GIAKLLSVIAGYDADDPRQQGRIVPGFDTNYLPALERGVKGMKIAILKEGFGHDGSDGML
ASDPLVDDCVRSAMETFRGLGAEVAEVSIPEHLTAWHIWTAIGLEGFTAFGVNGNGVGTN
WNGWYNTSMAEYLARAMKSRPYDMPATVRSVLIRGEYFRRYYHNRYYGKAQNQRHLINEA
YDRVLSEYDIIVCPTIPGLPTKMVDRDAGTLDTVVNQLNQLRNTAVCDLTGHPSMSVPCG
LREGLPVGMMLTAKHFDDATLIAAAAAFEAAGDWRKM</t>
  </si>
  <si>
    <t>Agrobacterium tumefaciens d3</t>
  </si>
  <si>
    <t>Kang T, Lin J, Yang L, Wu M. Expression, isolation, and identification of an ethanol-resistant ethyl carbamate-degrading amidase from Agrobacterium tumefaciens d3. J Biosci Bioeng. 2021;132(3):220-225. doi:10.1016/j.jbiosc.2021.05.003</t>
  </si>
  <si>
    <t>AAK28498.1   UniPROT:Q9AHE8</t>
  </si>
  <si>
    <t>&gt;sp|Q12559|AMDS_ASPOR Acetamidase OS=Aspergillus oryzae (strain ATCC 42149 / RIB 40) OX=510516 GN=amdS PE=3 SV=2
MPSASWEDLAADKRARLEKSIPDEWKFKSVPIEGSVIDLPEKSGILSPSEIKITNSSATE
LVAQLANGTLKSVDVTLAFCKRAALAHQLVNCAHDFFPELALAQARELDRYFETHKKPVG
PLHGLPISLKDQLRVKGTETCMAYISWLGKRDTSDSILTALLRKAGAVFLVKTSVPQTLM
VCETVNNIIGRTSNPRNLNLSCGGSSGGEGAMIAMRGGAIGIGTDIGGSIRVPAAFNSLY
GIRPSHGRLPYGGMTNSMEGQETIHSVVGPIAHSAQDVRLFLQSVLKEEPWKYDSKVIPL
PWREAEENAAQAKIAEKSLNFAFYDFDGVVRPHPPITRGVEIVRSTLEKDGHTVAPWTPY
KHAFAVDLANKIYAADGSTDVYKHINASGEPAIPNIKDLMNPNLPKADLNEVWDAQLQKW
RYQCEYLDKWREWEERTGKELDAIIAPVAATAAVRHNQFRYYGYATVFNVLDYTSVVVPV
TYADKAVDHRLADYQPVSDMDKAVYAEYDPEVYHGAPVAVQIIGRRLSEERTLAIAEYVG
KLLGH</t>
  </si>
  <si>
    <t>Masaki K, Fujihara K, Kakizono D, Mizukure T, Okuda M, Mukai N. Aspergillus oryzae acetamidase catalyzes degradation of ethyl carbamate. J Biosci Bioeng. 2020;130(6):577-581. doi:10.1016/j.jbiosc.2020.07.015</t>
  </si>
  <si>
    <t>Urethane (Polyurehane)</t>
  </si>
  <si>
    <t>GenBank: BBP47208.1</t>
  </si>
  <si>
    <t>&gt;BBP47208.1 urethanase [Candida parapsilosis]
MLTDNWKELAGKAQSTFQKSLKQAIELADFDEGLAKRYGALPSAIGANVEDFGSPAQFPLEEYLKALPKK
VLDITEKDPVELLKDLKSRKVTCVEVLKAYTAASIVASKLTNCVQEFLPIEALQYAQKLDADYETKKHLP
LYGLPFSIKEMIPFVGRSVTHGSLCYLDRIVDYNADIVNILIANGAYPFVRTTNPQSLMMLECVSFSHGR
TVNAYNGMLTSGGSSGGEGALNGMRASPFGLGSDIGGSIRCPAAFNGIYGLRSTLGRIPTADYFSCNRGS
ESILSVTGPLSRSLDTVNLVMKTVIEAKPWLIDPTLVPLDWKRPENKKFRVGIYVSDHIVNPSPPINRAL
SMVTEKLKSLGNFEVVTFEPYKPEKVTEILGKLYFEDGARDFRATLQTGEPLLEQTRWAIEGAEDLDMHD
QWYWNLQKQAYRKEFLKHWCSYTDNDGNVLDAVIAPVFPNVAAKHETTKYWTYTSQWNLLDYPVLAFPVT
KVDESLDQPYKNYKPLNDLDKYFYEQYDSPSSFKNAPANLCLVGLRFTDEKLVEIANILRN</t>
  </si>
  <si>
    <t>GenBank: XCO66867.1</t>
  </si>
  <si>
    <t>https://doi.org/10.1016/j.jhazmat.2024.136659</t>
  </si>
  <si>
    <t>Cutinase</t>
  </si>
  <si>
    <t>PuWeight loss of 25% after 24h  (PU foam (polycaprolactone+toluene diisocynate)</t>
  </si>
  <si>
    <t>&gt;UrHyd 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FAGEHDMLDWDSLHGQVDDNLIELIHEGRRLTGVDYGRADAFRGRMWDTWTEFMNDYDVLISPTLASATFPLTQFAPDWLQGKSLREQLLDWLLTYPYNMLNNPAITVPAGFTADGRPVGLQIAARHRQDALVLRVAANLEQARPWADRRPVA</t>
  </si>
  <si>
    <t>Protein Name</t>
  </si>
  <si>
    <t>Species</t>
  </si>
  <si>
    <t>0.6 ml enzyme (0.5 mg mL^-1 ) combined with 15 ul impranil dln-sd</t>
  </si>
  <si>
    <t>Substrate</t>
  </si>
  <si>
    <t>pH</t>
  </si>
  <si>
    <t>Temperature (C)</t>
  </si>
  <si>
    <t>https://doi.org/10.1016/j.jhazmat.2024.136159</t>
  </si>
  <si>
    <t>Used Enzyme Amount (mg)</t>
  </si>
  <si>
    <t>Polyester-TPU</t>
  </si>
  <si>
    <t>NS(Not Specified)</t>
  </si>
  <si>
    <t>Excluded after it was dedected to be an otutlier, not aligning with the groups</t>
  </si>
  <si>
    <t>https://doi.org/10.3390/polym9020065</t>
  </si>
  <si>
    <t>PU Foam</t>
  </si>
  <si>
    <t>https://doi.org/10.1128/aem.01477-23</t>
  </si>
  <si>
    <t>https://doi.org/10.1016/j.jhazmat.2024.134493</t>
  </si>
  <si>
    <t>Polyester - TPU ( Polyester Thermoplastic Urethane)</t>
  </si>
  <si>
    <t>0.6 ml enzyme (0.5 mg mL^-1 ) combined with PU foams (10mm*10mm)</t>
  </si>
  <si>
    <t>0.6 ml enzyme (0.5 mg mL^-1 ) combined with 20 mg PU films</t>
  </si>
  <si>
    <t>0.6 ml enzyme (0.5 mg mL^-1 ) combined with  PU foams (10mm*10mm)</t>
  </si>
  <si>
    <t>Note</t>
  </si>
  <si>
    <t>Polyester-TPU (Elastollan B85A-10)</t>
  </si>
  <si>
    <t>Polyester-TPU (Elastollan C85A-10)</t>
  </si>
  <si>
    <t>Obtained from leaf branch compost</t>
  </si>
  <si>
    <t>PBA -PU Film (TPU)</t>
  </si>
  <si>
    <t>For the turbidimetric degradation assay, a 5-mL reaction mixture consisting of 12 µg of purified CpCut1, 1% (vol/vol) of Impranil DLN-SD, and 50 mM PBS (pH 8.0) was mixed and incubated at 55°C for 48 h at 200 rpm.</t>
  </si>
  <si>
    <t>For both the thermoplastic and thermoset PU degradation assays, a 5-mL reaction mixture containing 0.4 mg of purified CpCut1, 30 mg of self-synthesized PBA-PU film or post-consumer foam, and 50 mM PBS (pH 8.0) was reacted at 55°C for 48 h at 200 rpm. </t>
  </si>
  <si>
    <t>For the determination of the weight loss of TPU Elastollan B85A-10 and Elastollan C85A-10 following enzymatic degradation, TPU cubes (0.5 cm × 0.5 cm × 0.2 cm, about 80 mg) were added to reaction vials containing 50 µg of purified enzyme and 1 M potassium phosphate buffer (pH 8.0) in a total volume of 1 mL.</t>
  </si>
  <si>
    <t>Enzymatic hydrolysis of Impranil DLN dispersion (40%) was investigated by a turbidimetric assay. The samples with a final volume of 250 µL were prepared in 96 well plates containing 0.3 M potassium phosphate buffer (pH 8.0) and different amounts of the purified hydrolases. The reaction was started by adding Impranil DLN at a final concentration of 0.1%.</t>
  </si>
  <si>
    <t>0.5 mg enzyme/25 mg plastic</t>
  </si>
  <si>
    <t>Not found for any LMWD or PUR</t>
  </si>
  <si>
    <t>LMWD(Low Molecular Weight Dicarbamates)</t>
  </si>
  <si>
    <t>TDA-DEG</t>
  </si>
  <si>
    <t>https://doi.org/10.1002/anie.202216220</t>
  </si>
  <si>
    <t>Enzyme concentration:6.9 mM</t>
  </si>
  <si>
    <t>CAMC( 7-carbethoxyamino-4-methylcoumarin)</t>
  </si>
  <si>
    <t>0.749 ± 0.012</t>
  </si>
  <si>
    <t>0.377 ± 0.020</t>
  </si>
  <si>
    <t>0.651 ± 0.064</t>
  </si>
  <si>
    <t>ENPC ( ethyl N-nitrophenylcarbamate)</t>
  </si>
  <si>
    <t>https://doi.org/10.1002/ange.202419535</t>
  </si>
  <si>
    <t>https://doi.org/10.1002/anie.202404492</t>
  </si>
  <si>
    <r>
      <rPr>
        <sz val="11"/>
        <color theme="1" tint="0.34998626667073579"/>
        <rFont val="Calibri"/>
        <family val="2"/>
        <charset val="162"/>
        <scheme val="minor"/>
      </rPr>
      <t>%40</t>
    </r>
    <r>
      <rPr>
        <sz val="11"/>
        <color theme="1"/>
        <rFont val="Calibri"/>
        <family val="2"/>
        <scheme val="minor"/>
      </rPr>
      <t xml:space="preserve"> this value is assumed since it wasnt specified in the article, checked from the product website.</t>
    </r>
  </si>
  <si>
    <t>Time (hours)</t>
  </si>
  <si>
    <t>Used Substrate Amount (mg)</t>
  </si>
  <si>
    <t>0.760 ± 0.182</t>
  </si>
  <si>
    <t>0.597 ± 0.187</t>
  </si>
  <si>
    <t>0.014 ± 0.006</t>
  </si>
  <si>
    <t>Degradation Percent (%) mean</t>
  </si>
  <si>
    <t>Degradation Percent (%) s.d</t>
  </si>
  <si>
    <r>
      <rPr>
        <sz val="11"/>
        <color theme="4" tint="-0.499984740745262"/>
        <rFont val="Calibri"/>
        <family val="2"/>
        <charset val="162"/>
        <scheme val="minor"/>
      </rPr>
      <t>20</t>
    </r>
    <r>
      <rPr>
        <sz val="11"/>
        <color theme="1"/>
        <rFont val="Calibri"/>
        <family val="2"/>
        <scheme val="minor"/>
      </rPr>
      <t xml:space="preserve"> it is assumed value since only information about used substrate given as PU Foam (10mm*10mm)</t>
    </r>
  </si>
  <si>
    <t>Degradation Performnace mg/(mg.h)</t>
  </si>
  <si>
    <t>Catalytic Activity μmol /(mg.min )</t>
  </si>
  <si>
    <t>%40 Impranil DLN-SD means it has 40 g of solid in its 100 ml.</t>
  </si>
  <si>
    <t>0.6 ml enzyme (0.5 mg mL^-1 ) combined with 15 ul impranil dln-sd (40% w/v)</t>
  </si>
  <si>
    <t>Catalytic efficency (ks/K, µg·s-1) mean</t>
  </si>
  <si>
    <t>Catalytic efficency (ks/K, µg·s-1) s.d</t>
  </si>
  <si>
    <t>Reference</t>
  </si>
  <si>
    <t>22-23</t>
  </si>
  <si>
    <t>0.1 ml</t>
  </si>
  <si>
    <t>https://doi.org/10.1016/S0922-338X(99)89001-1</t>
  </si>
  <si>
    <t>The PUR cube was degraded by the extract producing diethylene glycol (50 pmol/mg protein/48 h), a degradation product which was detected by GC analysis.</t>
  </si>
  <si>
    <t>the PU foam exposed to the enzyme solution was hydrolyzed to powder completely and had a weight loss of 72.69 % after 48 h incubation with 90 U of enzyme activity . For the PU foam (Z/RD30/b) degradation assay, 10 mL of 20 mM PBS (pH 7.4) and 90 U enzyme solution, containing 35 mg PU foam were incubated at 30 °C for 48 h at 180 rpm. The degradation performance was evaluated based on the weight loss of PU foam after enzymatic hydrolysis.</t>
  </si>
  <si>
    <t>90 U</t>
  </si>
  <si>
    <t>TDCB (toluene-2,4-dicarbamic acid dibutyl ester )</t>
  </si>
  <si>
    <t>PUR Cube</t>
  </si>
  <si>
    <t>The urethane hydrolase was effectively purified via two simple steps, ammonium sulfate fractionation and Resource Q column chromatography, resulting in a 58% yield and a specific activity of 6.0 U/mg (acetinilide) Relative activity for EPC = 1 , Relative activity for acetanilide =36.5</t>
  </si>
  <si>
    <t>https://doi.org/10.1007/s00253-005-0071-1</t>
  </si>
  <si>
    <t>NS</t>
  </si>
  <si>
    <t>Notes</t>
  </si>
  <si>
    <t>Impranil®DLN-SD %1.0 vol/vol</t>
  </si>
  <si>
    <t>Impranil®DLN-SD %0.1 vol/vol</t>
  </si>
  <si>
    <t>Impranil®DLN-SD %0.2 vol/vol</t>
  </si>
  <si>
    <t>Cladosporium sp. P7</t>
  </si>
  <si>
    <t>Thermobifida fusca KW3</t>
  </si>
  <si>
    <t>Mixta tenebrionis BIT-26</t>
  </si>
  <si>
    <t>Blastobotry sp. G-9</t>
  </si>
  <si>
    <t>Comamonas acidovorans TB-35</t>
  </si>
  <si>
    <t>Rhodococus equi TB-60</t>
  </si>
  <si>
    <t>&gt;XCO66867.1 PurH [Aeromicrobium sp.]
M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IQ</t>
  </si>
  <si>
    <t xml:space="preserve">Urethane </t>
  </si>
  <si>
    <t>&gt;VHQI01000004.1:32725-34566 Mixta tenebrionis strain BIT-26 Scaffold4, whole genome shotgun sequence
CGCTAAGATAACATGGGCATCATCCAGCATCTGCTGCGTTACGCCAACCAGCGTAATACTGTTTTGACCA
AAATCTAATACCAGACTCTCCTCTGATTCGGTTATAAAATCATGATAGTCTCCGCCGATTGCGCCCTGCA
CTCCCATCAGTACAAGGCTGTCACTCTCGTTGAAGCCAAAGATCGAATCATGACCAAAGTCGCCGCTGAA
GATGAAGGTATTGTCATTGCCCGCAGCATAGATGCTGTCGTCACCTTCCCCACCGACAAAGGTGTCATTA
TCTCCGGCACCATACAGCCGATCGTCTCCGCCGCCGCCAAACAGCCAGCTACCTGCTTCGCTGGCCTGCA
AAATATTTGCTGCGCTGTCACCATTAACAGAGGTAGCCCAGCTGGTCAGCCCTTTCGTTGACAGCAGTCC
ATCGTCGGTGACGTTATGGTCTACGCTTTCCGTGAACAGCCACAAAAAGGACTCAAGGCTTTGTACGGTA
TGAATGTCGCTGGCGATGGTAATCCCACCGTCAGCATCGCGCAAATAGAGCGTATTGCCATCTTTCGCAA
TATCGTAATCACTTAGCGACTGCTCAATATCCAGTGTATTATGCCCTAAACCGCCGGAAATAATGTTATA
GCCACCGGCATCGCGGAAGGTATCATCGCCGATACCGCCTTCGATATAGTCATTGCCCGCTCCGCCCTTG
ATCAGATCGTTTCCTTCCGAGCCGATAATAAAGACCGGGCCGGTATGCTTTTGCGCATAAATATTGCGAT
CTTCAACCCAGGTATTGGTGCGTGCGCCATCGGACAGATTAGCGACGACAACCGTAGAATCCCGATCGGT
GAGTGAATAGAACTCCGAATCAAGTATCCTTGTCATATTATCCTGATAAAAGAAGGGCATATGCGTTAAC
CAGGAAGCGATATTCACTATCGACTGCGGTAAAATATTCCAGGTATTGGAAGCATAGTAGTCATTGAAAT
TAACTATGTTATCGGTAGTCGTTTCGTAATGGCCGTCATGGGTAAAGAAGGTTGAAAGCGTTATATCGGT
TCCATCCAGTACGCGGAAAACCGGATCGTTTTCAAAGCCTACATTCAATACTTTCCCGCCCTCCTCATAC
TGTGTTGGCGAGGCAAAAGCGATATAATTTGCATCGGAGTAAAAGCCGTTCCAGTTTTTATCGCTTAAAT
ACGCCATACTGTTCACAGACAGGCCGCCAAGACTGTGCCCGCTTACCACAACATCACTGCCAGAAAGGCC
ATTCTCCCCGGCAAAAACGGCGACTTTTCCCAGCAAATCACCAAAGGCGTTAGCAGAGTAATAATTGCTG
TAATCTTCCGACATCAGACCGGCAAAGATATCATTAATCGCATCGCCAATCGTATCACAAATAAGATTTT
CACGCGGGCCAGACGTACCACGGAAAGCGATACCGATCTGGATTAAATGTCCTTCAGCATCATATTTCCC
CATAACTTCCGCCTGGGCAGTTTTATAACCGAAATTTTCGCCGTAATAGGTTCCTCTGGAATCGGTGACA
CCGTCATAACCCAGCGTTGCGGCGTCAATAGTATACCAGCCCGCTTCATTAATCGTTTCCAGCGCTTTTT
GCTCTGAATCCGGGTTCCATGGCAAACCACCAATAATACCTTGTGAATCACCGTTACCAAAGAGCGCGGT
GATTAACGTAACCGGCAGCCCCAGGCCAAAACCTGAGCCATAATAACCATTCGCCAGGCCGTCATCCAGA
TTATGATAAGTGTAAGTGGTTAGCTTCAGTGCATCATTAAACAATGCCTTCGCTTCATCTTCATTTAAAT
TATTGAACGAAAAAATCCCCAT</t>
  </si>
  <si>
    <t>&gt;KY115673.1 Synthetic construct cutinase gene, partial cds
ATGCAACTAGGTGCTATTGAGAATGGATTGGAGTCAGGTTCAGCTAACGCTTGCCCTGACGCTATTCTAA
TTTTTGCCCGTGGATCAACTGAACCTGGAAATATGGGTATAACAGTGGGCCCTGCATTAGCAAACGGTTT
GGAATCTCACATTAGGAACATCTGGATTCAAGGCGTTGGTGGCCCATACGACGCCGCATTGGCCACAAAC
TTTCTGCCTAGAGGTACGAGTCAAGCTAATATTGATGAGGGTAAACGATTATTTGCACTGGCTAACCAGA
AGTGTCCTAACACACCAGTTGTTGCTGGTGGATACTCACAAGGAGCAGCTCTAATTGCAGCTGCTGTTAG
TGAACTTTCCGGTGCAGTCAAAGAGCAAGTCAAGGGTGTTGCTTTGTTCGGATACACACAGAACCTGCAA
AACAGGGGTGGGATCCCAAACTACCCTAGAGAGCGAACTAAAGTTTTCTGTAACGTTGGTGATGCCGTCT
GTACCGGAACTCTGATTATTACTCCAGCACACTTGTCTTACACCATTGAAGCTAGAGGCGAGGCTGCCAG
ATTTCTTCGAGACAGAATCAGAGCA</t>
  </si>
  <si>
    <t>&gt;PQ010715.1 Aeromicrobium sp. strain LTX1 PurH (purH) gene, complete cds
ATGAAACTGTCCAGACTGATCGCGATGGCGTTGGCCGGCGCGGCCCTCACCGCGGGCACGGCGATCCAGC
CGGTCGTCGCGGCCGAGAACCCGTACGAGCGCGGGCCGGCCCCGACGAACAGCAGCATCGAGGCCACCCG
CGGTCCGTACGCCGTGAGCACCAAGACGATCTCGTCGCTGTCCGCGCGTGGCTTCGGGGGCGGCACGATC
TACTACCCGACGTCGACGGCCGACGGCACGTTCGGCGTGGTGGCGATCTCGCCGGGCTACACGGCGGCGC
AGTCGACGATCCAGTGGCTCGGCCCGCGCATCGCGTCGCAGGGCTTCGTGGTCATCACGATCGACACGAA
CACGCGGCTCGACCAGCCGGGCTCGCGCGGCACGCAGCTGCTCGCGGCGCTCGACCAGACGATCGCCGAC
ACCACCGTCCGCTCGCGGATCGACGCCTCGCGCCAGGCCGTGGTCGGTCACTCGATGGGCGGTGGCGGCA
CGCTCGAGGCCGCCAAGTCGCGGCGCTCGATCGAGGCCACGGTCGGCCTCACGCCGTGGAACCTCGACAA
GACGTGGCCCGAGGTCGAGGCCGCGTCGCTGGAGATCGGTGCCCAGAACGACACGGTCGCGCCCCCCGGC
TCGCACGCGATCCCGTTCTACAACTCCCTGACGAACGCCGAGCGGCGCGCGTACCTGGAGCTGCGTGGCG
CCAGCCACTTCGCCCCGAACACCAGCAACACGACGATCGCGAAGTACACGATCGCCTGGCTCAAGCGGTA
CGTCGACGACGACACGCGCTACGAGCAGTTCATCAGCCCGGGCCCGAGCCCGTCGCTGACCAACGGGATC
TCGGACTACCGGATCCAGTGA</t>
  </si>
  <si>
    <t>ATGTCCCTGAGGAAGTCGTTCGGACTGCTGTCGGCGACCGCCGCCCTGGTGGCCGGCCTGGTCGCCGCGCCCCCCGCGCAGGCCGCGGCGAACCCCTACCAGCGCGGCCCGGATCCCACCGAATCCCTTCTGAGGGCCGCGCGCGGTCCGTTCGCCGTCTCCGAGCAGTCGGTCTCCAGGCTGAGCGTGTCCGGCTTCGGCGGCGGCCGGATCTACTACCCGACCACCACCAGCCAGGGCACCTTCGGCGCCATCGCCATCTCGCCCGGCTTCACCGCCTCCTGGTCCAGCCTGGCCTGGCTCGGCCCGCGCCTGGCCTCGCACGGCTTCGTGGTCATCGGCATCGAGACCAACACCCGCCTGGACCAGCCCGACAGCCGGGGCCGTCAGCTGCTGGCCGCCCTGGACTACCTGACCCAGCGCAGCTCGGTGCGCAACCGGGTGGACGCCTCGCGCCTGGCGGTGGCCGGCCACTCGATGGGCGGCGGCGGCACGCTGGAGGCCGCCAAGAGCCGCACCTCGCTGAAGGCCGCCATCCCCATCGCGCCCTGGAACCTGGACAAGACCTGGCCGGAAGTGCGCACCCCGACCCTGATCATCGGCGGTGAGCTCGACTCCATCGCCCCGGTCGCCACGCACTCCATCCCGTTCTACAACAGCCTGACCAACGCCCGGGAGAAGGCGTACCTGGAGCTGAACAACGCCAGCCACTTCTTCCCGCAGTTCTCCAACGACACCATGGCCAAGTTCATGATCAGTTGGATGAAGCGGTTCATCGACGACGACACCCGCTACGACCAGTTCCTGTGCCCGCCGCCGCGGGCGATCGGGGACATCTCCGACTACCGGGACACCTGCCCGCACACGTGA</t>
  </si>
  <si>
    <t>ATGAAGCGCACCCTCAAGAGGGCCCTCAGCCTGCTGCCCGCCGCAGCGCTGGCCGCCAGCGCCCTGGTCGCCGCCTCCCCCGCACAGGCGGCGGCCAACCCCTACCAGCGGGGTCCCAACCCCACGGAGGCCAGCATCACCGCCGCCCGCGGGCCGTTCAACACCGCTGAGATCACCGTCTCGCGGCTGAGCGTGTCCGGCTTCGGCGGAGGCAAGATCTACTACCCGACCACCACCAGCGAGGGCACCTTCGGCGCCATCGCCATCTCGCCCGGCTTCACCGCCTACTGGTCCAGCCTGGAGTGGCTGGGCCACCGGCTGGCCTCCCAGGGCTTCGTGGTCATCGGCATCGAGACCAACACCACCCTGGACCAGCCCGACCAGCGCGGTCAGCAGCTGCTGGCCGCCCTGGACTACCTGACCCAGCGCAGCGCGGTCCGCGACCGGGTGGACGCCTCGCGCCTGGCGGTGGCCGGCCACTCGATGGGCGGCGGCGGCTCGCTGGAGGCCGCCAAGGCCCGCACCTCGCTGAAGGCCGCCATCCCGCTGGCCCCCTGGAACCTGGACAAGACCTGGCCGGAAGTGCGCACCCCGACCCTGATCATCGGCGGTGAGCTCGACGCCGTCGCGCCGGTCGCCACGCACTCCATCCCGTTCTACAACAGCCTGTCCAACGCGCCGGAGAAGGCCTACCTGGAGCTGGACAACGCCAGCCACTTCTTCCCGAACATCACCAACACCCAGATGGCCAAGTACATGATCGCCTGGATGAAGCGGTTCATCGACGATGACACCCGCTACACCCAGTTCCTGTGCCCGCCGCCCAGCACCGGCCTGCTGTCGGACTTCTCCGACGCCCGCTTCACCTGCCCCATGTGA</t>
  </si>
  <si>
    <t>Cleaved Version</t>
  </si>
  <si>
    <t>&gt;CpCut1
QSVGSTVNELVSGNCRPITFIFARGSTEIGNIGSSVGPPTCQGLKSTYGANNVACQGVGS
PYDATLAANLLPEGTTSAAYGEAQRLFNLANTKCPNTKIVAGGYSQGAAVMVASVRRLST
AVKNKIAGVVLYGNTRNAQEGGKIPSFPPEKALTICNASDGVCGGGLVVTPGHLTYQVDV
PKAVDYLESRIAAAGGI</t>
  </si>
  <si>
    <t>&gt;BaCut1
DGACSKYTIIDTRGTGELQGPSTGFLTMNRNILSEVPGGDQYHTVYPADWSQISTQGTLD
IVNKVYSTLESDPNHCFVLEGYSQGAAATVNALPKLTGDSFDAVKAVFLIGNPMHKSGLE
CNVDTLGGKSTAYANGLSVVLGSIPDEWVSKTMDVCNFGDGVCDTLTGVGITLQHLDYPL
DANVQNMGTEFVVKALTS</t>
  </si>
  <si>
    <t>&gt;LCC
QSNPYQRGPNPTRSALTADGPFSVATYTVSRLSVSGFGGGVIYYPTGTSLTFGGIAMSPG
YTADASSLAWLGRRLASHGFVVLVINTNSRFDYPDSRASQLSAALNYLRTSSPSAVRARL
DANRLAVAGHSMGGGGTLRIAEQNPSLKAAVPLTPWHTDKTFNTSVPVLIVGAEADTVAP
VSQHAIPFYQNLPSTTPKVYVELDNASHFAPNSNNAAISVYTISWMKLWVDNDTRYRQFL
CNVNDPALSDFRTNNRHCQ</t>
  </si>
  <si>
    <t>&gt;PudA
CGGSDNDSSSNNQGAPAVAITVAGQVQAVDRLGMRRYFGIPFAAPPVGNLRWMPPAPPQS
WAAPLAKTQSNAPCMQTGATDPLRLPNGTEDCLYLDVHAPATGEGPFPVMVWIHGGAFSI
GGTITYADPSPLVSKGVIVVNIAYRMGAMGFLGHPSLRAADGTVGNYGIMDQQAALRWVQ
DNIAAFGGDKSNVTIFGESAGGFSVMTHLASPLSKGLFAKAIVQSGGYGFDRQLTQAQLE
AQSTSIVNSALAAAGVSCPTVDAACLRGLSAELVNNQLATAFTTANWSPVPSVDGKVLPK
SIKATFVAGENNKVPLVNGSNQDEWSYFVASRELVAGPLTAAQYPSYLQTSLGLPPSLAT
VYPLTDYGTNTAQQPSLAATAAGTDMHFSCPALNLSKRVLSQATPIFMYEFRDRTAIPSI
GRNTISFNQGAGHTYELQYLFNLRDLETAEHRDLQASMARYWTNFARTSNPNNGDPVATS
WPAFTGPTKVLGLDVASAGGIRELATFETDHKCNTAWTSLTF</t>
  </si>
  <si>
    <t>&gt;PurH
AENPYERGPAPTNSSIEATRGPYAVSTKTISSLSARGFGGGTIYYPTSTADGTFGVVAIS
PGYTAAQSTIQWLGPRIASQGFVVITIDTNTRLDQPGSRGTQLLAALDQTIADTTVRSRI
DASRQAVVGHSMGGGGTLEAAKSRRSIEATVGLTPWNLDKTWPEVEAASLEIGAQNDTVA
PPGSHAIPFYNSLTNAERRAYLELRGASHFAPNTSNTTIAKYTIAWLKRYVDDDTRYEQF
ISPGPSPSLTNGISDYRIQ</t>
  </si>
  <si>
    <t>&gt;Tcur0390
AANPYQRGPNPTEASITAARGPFNTAEITVSRLSVSGFGGGKIYYPTTTSEGTFGAIAIS
PGFTAYWSSLEWLGHRLASQGFVVIGIETNTTLDQPDQRGQQLLAALDYLTQRSAVRDRV
DASRLAVAGHSMGGGGSLEAAKARTSLKAAIPLAPWNLDKTWPEVRTPTLIIGGELDAVA
PVATHSIPFYNSLSNAPEKAYLELDNASHFFPNITNTQMAKYMIAWMKRFIDDDTRYTQF
LCPPPSTGLLSDFSDARFTCPM</t>
  </si>
  <si>
    <t>&gt;Tcur1278
AANPYQRGPDPTESLLRAARGPFAVSEQSVSRLSVSGFGGGRIYYPTTTSQGTFGAIAIS
PGFTASWSSLAWLGPRLASHGFVVIGIETNTRLDQPDSRGRQLLAALDYLTQRSSVRNRV
DASRLAVAGHSMGGGGTLEAAKSRTSLKAAIPIAPWNLDKTWPEVRTPTLIIGGELDSIA
PVATHSIPFYNSLTNAREKAYLELNNASHFFPQFSNDTMAKFMISWMKRFIDDDTRYDQF
LCPPPRAIGDISDYRDTCPHT</t>
  </si>
  <si>
    <t>&gt;CALA cleaved agcctcaagcgacttcactccctctcttcccacccttcctcctcatcccctcgacccgagccctaccctctcgctcccttgcgtctccctcccacctttcgaacgatgcgagtgtccttgcgctccattacctcgctgctggcggcggcaacggcggctgtgctcgcggctccggcaaccgagacgctggaccgacgggcggcgctgcccaacccctacgacgatcccttctacacgacgccatccaacatcggcacgtttgccaagggccaggtgatccaatctcgcaaggtgcccacggacatcggcaacgccaacaacgctgcgtcgttccagctgcagtaccgcaccaccaatacgcagaacgaggcggtggccgacgtggccaccgtgtggatcccggccaagcccgcttcgccgcccaagatcttttcgtaccaggtctacgaggatgccacggcgctcgactgtgctccgagctacagctacctcactggattggaccagccgaacaaggtgacggcggtgctcgacacgcccatcatcatcggctgggcgctgcagcagggctactacgtcgtctcgtccgaccacgaaggcttcaaagccgccttcatcgctggctacgaagagggcatggctatcctcgacggcatccgcgcgctcaagaactaccagaacctgccatccgacagcaaggtcgctcttgagggctacagtggcggagctcacgccaccgtgtgggcgacttcgcttgctgactcgtacgcgcccgagctcaacattgtcggtgcttcgcacggcggcacgcccgtgagcgccaaggacacctttacattcctcaacggcggacccttcgccggctttgccctggcgggtgtttcgggtctctcgctcgctcatcctgatatggagagcttcattgaggcccgattgaacgccaagggtcagcagacgctcaagcagatccgcggccgtggcttctgcctgccgcaggtggtgttgacctaccccttcctcaacgtcttctcgctggtcaacgacacgaacctgctcaacgaggcgccgatcgctggcatcctcaagcaggagacggtggtccaggccgaagcgagctacacggtatcggtgcccaagttcccgcgcttcatctggcatgcgatccccgacgagatcgtgccgtaccagcctgccgctacctacgtcaaggagcaatgtgccaagggcgccaacatcaatttttcgccctacccgatcgccgagcacctcaccgccgagatctttggtctggtgcctagcctgtggtttatcaagcaagccttcgacggcaccacacccaaggtgatctgcggcactcccatccctgctatcgctggcatcaccacgccctcggcggaccaggtgctgggttcggacctggccaaccagctgcgcagcctcaacggcaagcagagtgcgttcggcaagccctttggccccatcacaccaccttag</t>
  </si>
  <si>
    <t>&gt;CALA (ETS61940.1)
SLKRLHSLSSHPSSSSPRPEPYPLAPLRLPPTFRTMRVSLRSITSLLAAATAAVLAAPAT
ETLDRRAALPNPYDDPFYTTPSNIGTFAKGQVIQSRKVPTDIGNANNAASFQLQYRTTNT
QNEAVADVATVWIPAKPASPPKIFSYQVYEDATALDCAPSYSYLTGLDQPNKVTAVLDTP
IIIGWALQQGYYVVSSDHEGFKAAFIAGYEEGMAILDGIRALKNYQNLPSDSKVALEGYS
GGAHATVWATSLADSYAPELNIVGASHGGTPVSAKDTFTFLNGGPFAGFALAGVSGLSLA
HPDMESFIEARLNAKGQQTLKQIRGRGFCLPQVVLTYPFLNVFSLVNDTNLLNEAPIAGI
LKQETVVQAEASYTVSVPKFPRFIWHAIPDEIVPYQPAATYVKEQCAKGANINFSPYPIA
EHLTAEIFGLVPSLWFIKQAFDGTTPKVICGTPIPAIAGITTPSADQVLGSDLANQLRSL
NGKQSAFGKPFGPITPP</t>
  </si>
  <si>
    <t>Nucletoide sequence of this protein was the complement sequence : nucleotide sequence used in analysis is :atggggattttttcgttcaataatttaaatgaagatgaagcgaaggcattgtttaatgatgcactgaagctaaccacttacacttatcataatctggatgacggcctggcgaatggttattatggctcaggttttggcctggggctgccggttacgttaatcaccgcgctctttggtaacggtgattcacaaggtattattggtggtttgccatggaacccggattcagagcaaaaagcgctggaaacgattaatgaagcgggctggtatactattgacgccgcaacgctgggttatgacggtgtcaccgattccagaggaacctattacggcgaaaatttcggttataaaactgcccaggcggaagttatggggaaatatgatgctgaaggacatttaatccagatcggtatcgctttccgtggtacgtctggcccgcgtgaaaatcttatttgtgatacgattggcgatgcgattaatgatatctttgccggtctgatgtcggaagattacagcaattattactctgctaacgcctttggtgatttgctgggaaaagtcgccgtttttgccggggagaatggcctttctggcagtgatgttgtggtaagcgggcacagtcttggcggcctgtctgtgaacagtatggcgtatttaagcgataaaaactggaacggcttttactccgatgcaaattatatcgcttttgcctcgccaacacagtatgaggagggcgggaaagtattgaatgtaggctttgaaaacgatccggttttccgcgtactggatggaaccgatataacgctttcaaccttctttacccatgacggccattacgaaacgactaccgataacatagttaatttcaatgactactatgcttccaatacctggaatattttaccgcagtcgatagtgaatatcgcttcctggttaacgcatatgcccttcttttatcaggataatatgacaaggatacttgattcggagttctattcactcaccgatcgggattctacggttgtcgtcgctaatctgtccgatggcgcacgcaccaatacctgggttgaagatcgcaatatttatgcgcaaaagcataccggcccggtctttattatcggctcggaaggaaacgatctgatcaagggcggagcgggcaatgactatatcgaaggcggtatcggcgatgataccttccgcgatgccggtggctataacattatttccggcggtttagggcataatacactggatattgagcagtcgctaagtgattacgatattgcgaaagatggcaatacgctctatttgcgcgatgctgacggtgggattaccatcgccagcgacattcataccgtacaaagccttgagtcctttttgtggctgttcacggaaagcgtagaccataacgtcaccgacgatggactgctgtcaacgaaagggctgaccagctgggctacctctgttaatggtgacagcgcagcaaatattttgcaggccagcgaagcaggtagctggctgtttggcggcggcggagacgatcggctgtatggtgccggagataatgacacctttgtcggtggggaaggtgacgacagcatctatgctgcgggcaatgacaataccttcatcttcagcggcgactttggtcatgattcgatctttggcttcaacgagagtgacagccttgtactgatgggagtgcagggcgcaatcggcggagactatcatgattttataaccgaatcagaggagagtctggtattagattttggtcaaaacagtattacgctggttggcgtaacgcagcagatgctggatgatgcccatgttatcttagcg</t>
  </si>
  <si>
    <t>EC Number</t>
  </si>
  <si>
    <t>Fatty-acid amide hydrolase 2 (IPR052739)</t>
  </si>
  <si>
    <t> type-B carboxylesterase/lipase family.</t>
  </si>
  <si>
    <t>UniProt/InterPro Protein Family</t>
  </si>
  <si>
    <t>EC:3.1.1.101(PET degradation) ,EC:3.1.1.74(cutin degradation)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</si>
</sst>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_-;\-* #,##0.0_-;_-* &quot;-&quot;?_-;_-@_-"/>
    <numFmt numFmtId="165" formatCode="0.0"/>
    <numFmt numFmtId="166" formatCode="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i/>
      <sz val="9"/>
      <name val="Arial"/>
      <family val="2"/>
      <charset val="162"/>
    </font>
    <font>
      <sz val="9"/>
      <name val="Arial"/>
      <family val="2"/>
      <charset val="162"/>
    </font>
    <font>
      <b/>
      <sz val="9"/>
      <name val="Arial"/>
      <family val="2"/>
      <charset val="162"/>
    </font>
    <font>
      <sz val="11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9"/>
      <color rgb="FF212121"/>
      <name val="Arial"/>
      <family val="2"/>
      <charset val="162"/>
    </font>
    <font>
      <i/>
      <sz val="9"/>
      <color rgb="FF212121"/>
      <name val="Arial"/>
      <family val="2"/>
      <charset val="16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  <charset val="162"/>
    </font>
    <font>
      <sz val="11"/>
      <color theme="1" tint="0.34998626667073579"/>
      <name val="Calibri"/>
      <family val="2"/>
      <charset val="162"/>
      <scheme val="minor"/>
    </font>
    <font>
      <b/>
      <sz val="10"/>
      <name val="Arial"/>
      <family val="2"/>
      <charset val="162"/>
    </font>
    <font>
      <sz val="10"/>
      <color theme="1"/>
      <name val="Arial"/>
      <family val="2"/>
      <charset val="162"/>
    </font>
    <font>
      <sz val="11"/>
      <color theme="4" tint="-0.499984740745262"/>
      <name val="Calibri"/>
      <family val="2"/>
      <charset val="162"/>
      <scheme val="minor"/>
    </font>
    <font>
      <b/>
      <sz val="9"/>
      <color theme="1" tint="4.9989318521683403E-2"/>
      <name val="Arial"/>
      <family val="2"/>
      <charset val="162"/>
    </font>
    <font>
      <sz val="11"/>
      <color theme="1"/>
      <name val="Arial"/>
      <family val="2"/>
      <charset val="162"/>
    </font>
    <font>
      <i/>
      <sz val="11"/>
      <color theme="1"/>
      <name val="Arial"/>
      <family val="2"/>
      <charset val="162"/>
    </font>
    <font>
      <sz val="11"/>
      <color theme="1" tint="0.499984740745262"/>
      <name val="Arial"/>
      <family val="2"/>
      <charset val="162"/>
    </font>
    <font>
      <sz val="11"/>
      <color rgb="FF000000"/>
      <name val="Arial"/>
      <family val="2"/>
      <charset val="162"/>
    </font>
    <font>
      <sz val="11"/>
      <color rgb="FF333333"/>
      <name val="Arial"/>
      <family val="2"/>
      <charset val="162"/>
    </font>
    <font>
      <sz val="11"/>
      <name val="Arial"/>
      <family val="2"/>
      <charset val="162"/>
    </font>
    <font>
      <sz val="11"/>
      <color theme="4" tint="-0.499984740745262"/>
      <name val="Arial"/>
      <family val="2"/>
      <charset val="162"/>
    </font>
    <font>
      <sz val="11"/>
      <color rgb="FF222222"/>
      <name val="Arial"/>
      <family val="2"/>
      <charset val="162"/>
    </font>
    <font>
      <b/>
      <sz val="9"/>
      <color theme="1"/>
      <name val="Arial"/>
      <family val="2"/>
      <charset val="162"/>
    </font>
    <font>
      <b/>
      <i/>
      <sz val="9"/>
      <name val="Arial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2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2"/>
      <color rgb="FF000000"/>
      <name val="Times New Roman"/>
      <family val="1"/>
      <charset val="162"/>
    </font>
    <font>
      <i/>
      <sz val="9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9"/>
      <color rgb="FFFF0000"/>
      <name val="Arial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2" tint="-9.9978637043366805E-2"/>
      </right>
      <top style="thin">
        <color indexed="64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09">
    <xf numFmtId="0" fontId="0" fillId="0" borderId="0" xfId="0"/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0" xfId="0" applyFill="1"/>
    <xf numFmtId="0" fontId="10" fillId="4" borderId="1" xfId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/>
    <xf numFmtId="0" fontId="2" fillId="0" borderId="0" xfId="0" applyFont="1"/>
    <xf numFmtId="0" fontId="4" fillId="0" borderId="1" xfId="0" applyFont="1" applyBorder="1" applyAlignment="1">
      <alignment horizontal="left" vertical="center" wrapText="1"/>
    </xf>
    <xf numFmtId="0" fontId="1" fillId="0" borderId="0" xfId="0" applyFont="1"/>
    <xf numFmtId="165" fontId="14" fillId="0" borderId="0" xfId="0" applyNumberFormat="1" applyFont="1"/>
    <xf numFmtId="49" fontId="14" fillId="0" borderId="0" xfId="0" applyNumberFormat="1" applyFont="1"/>
    <xf numFmtId="166" fontId="0" fillId="0" borderId="0" xfId="0" applyNumberFormat="1"/>
    <xf numFmtId="0" fontId="5" fillId="0" borderId="3" xfId="0" applyFont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49" fontId="5" fillId="2" borderId="3" xfId="0" applyNumberFormat="1" applyFont="1" applyFill="1" applyBorder="1" applyAlignment="1">
      <alignment vertical="center" wrapText="1"/>
    </xf>
    <xf numFmtId="166" fontId="16" fillId="2" borderId="5" xfId="0" applyNumberFormat="1" applyFont="1" applyFill="1" applyBorder="1" applyAlignment="1">
      <alignment vertical="center" wrapText="1"/>
    </xf>
    <xf numFmtId="166" fontId="5" fillId="0" borderId="6" xfId="0" applyNumberFormat="1" applyFont="1" applyBorder="1" applyAlignment="1">
      <alignment vertical="center" wrapText="1"/>
    </xf>
    <xf numFmtId="49" fontId="13" fillId="0" borderId="6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4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165" fontId="20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0" fontId="25" fillId="0" borderId="4" xfId="0" applyFont="1" applyBorder="1" applyAlignment="1">
      <alignment vertical="center" wrapText="1"/>
    </xf>
    <xf numFmtId="0" fontId="18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26" fillId="0" borderId="1" xfId="0" applyFont="1" applyBorder="1" applyAlignment="1">
      <alignment horizontal="left" vertical="center" wrapText="1"/>
    </xf>
    <xf numFmtId="0" fontId="18" fillId="0" borderId="0" xfId="1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27" fillId="0" borderId="0" xfId="0" applyFont="1"/>
    <xf numFmtId="0" fontId="5" fillId="0" borderId="4" xfId="0" applyFont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28" fillId="0" borderId="1" xfId="0" applyFont="1" applyBorder="1" applyAlignment="1">
      <alignment horizontal="left" vertical="center" wrapText="1"/>
    </xf>
    <xf numFmtId="0" fontId="29" fillId="4" borderId="1" xfId="0" applyFont="1" applyFill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29" fillId="0" borderId="0" xfId="0" applyFont="1" applyAlignment="1">
      <alignment horizontal="left"/>
    </xf>
    <xf numFmtId="0" fontId="4" fillId="5" borderId="1" xfId="0" applyFont="1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49" fontId="13" fillId="2" borderId="5" xfId="0" applyNumberFormat="1" applyFont="1" applyFill="1" applyBorder="1" applyAlignment="1">
      <alignment vertical="center" wrapText="1"/>
    </xf>
    <xf numFmtId="0" fontId="22" fillId="0" borderId="8" xfId="0" applyFont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/>
    </xf>
    <xf numFmtId="0" fontId="31" fillId="0" borderId="0" xfId="0" applyFont="1" applyAlignment="1">
      <alignment horizontal="left"/>
    </xf>
    <xf numFmtId="0" fontId="4" fillId="7" borderId="1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left" vertical="center" wrapText="1"/>
    </xf>
    <xf numFmtId="0" fontId="29" fillId="7" borderId="1" xfId="0" applyFont="1" applyFill="1" applyBorder="1" applyAlignment="1">
      <alignment horizontal="left" vertical="center"/>
    </xf>
    <xf numFmtId="0" fontId="17" fillId="7" borderId="0" xfId="0" applyFont="1" applyFill="1" applyAlignment="1">
      <alignment horizontal="center" vertical="center"/>
    </xf>
    <xf numFmtId="165" fontId="17" fillId="7" borderId="0" xfId="0" applyNumberFormat="1" applyFont="1" applyFill="1" applyAlignment="1">
      <alignment horizontal="center" vertical="center"/>
    </xf>
    <xf numFmtId="49" fontId="17" fillId="7" borderId="0" xfId="0" applyNumberFormat="1" applyFont="1" applyFill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164" fontId="17" fillId="7" borderId="0" xfId="0" applyNumberFormat="1" applyFont="1" applyFill="1" applyAlignment="1">
      <alignment horizontal="center" vertical="center"/>
    </xf>
    <xf numFmtId="0" fontId="18" fillId="7" borderId="0" xfId="0" applyFont="1" applyFill="1" applyAlignment="1">
      <alignment horizontal="left" vertical="center"/>
    </xf>
    <xf numFmtId="0" fontId="21" fillId="7" borderId="0" xfId="0" applyFont="1" applyFill="1" applyAlignment="1">
      <alignment horizontal="left" vertical="center"/>
    </xf>
    <xf numFmtId="0" fontId="0" fillId="7" borderId="0" xfId="0" applyFill="1"/>
    <xf numFmtId="0" fontId="3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wrapText="1"/>
    </xf>
    <xf numFmtId="0" fontId="4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0" fillId="4" borderId="0" xfId="0" applyFill="1" applyAlignment="1">
      <alignment horizontal="left" vertical="top"/>
    </xf>
    <xf numFmtId="9" fontId="0" fillId="4" borderId="0" xfId="0" applyNumberFormat="1" applyFill="1" applyAlignment="1">
      <alignment horizontal="left" vertical="top"/>
    </xf>
    <xf numFmtId="0" fontId="3" fillId="4" borderId="1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left" vertical="center"/>
    </xf>
    <xf numFmtId="0" fontId="4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33" fillId="0" borderId="10" xfId="0" applyFont="1" applyBorder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5" fillId="0" borderId="10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391583</xdr:colOff>
      <xdr:row>71</xdr:row>
      <xdr:rowOff>21166</xdr:rowOff>
    </xdr:from>
    <xdr:to>
      <xdr:col>7</xdr:col>
      <xdr:colOff>779365</xdr:colOff>
      <xdr:row>76</xdr:row>
      <xdr:rowOff>126094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0BD74B-8CEB-3BC7-3F85-85FBAB66C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2666" y="21865166"/>
          <a:ext cx="2019582" cy="11050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71</xdr:row>
      <xdr:rowOff>104775</xdr:rowOff>
    </xdr:to>
    <xdr:sp macro="" textlink="">
      <xdr:nvSpPr>
        <xdr:cNvPr id="2049" name="AutoShape 1" descr="Details are in the caption following the image">
          <a:extLst>
            <a:ext uri="{FF2B5EF4-FFF2-40B4-BE49-F238E27FC236}">
              <a16:creationId xmlns:a16="http://schemas.microsoft.com/office/drawing/2014/main" id="{08701290-ED00-A0AA-EF58-35F14267D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0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70</xdr:row>
      <xdr:rowOff>104775</xdr:rowOff>
    </xdr:to>
    <xdr:sp macro="" textlink="">
      <xdr:nvSpPr>
        <xdr:cNvPr id="2051" name="AutoShape 3" descr="Details are in the caption following the image">
          <a:extLst>
            <a:ext uri="{FF2B5EF4-FFF2-40B4-BE49-F238E27FC236}">
              <a16:creationId xmlns:a16="http://schemas.microsoft.com/office/drawing/2014/main" id="{787BA884-1BB1-FFBC-547B-332985B7F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9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433916</xdr:colOff>
      <xdr:row>69</xdr:row>
      <xdr:rowOff>31750</xdr:rowOff>
    </xdr:from>
    <xdr:to>
      <xdr:col>3</xdr:col>
      <xdr:colOff>263676</xdr:colOff>
      <xdr:row>78</xdr:row>
      <xdr:rowOff>174624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85FAC0-4302-0DED-4FDD-4F1DC708D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3916" y="30988000"/>
          <a:ext cx="4762500" cy="1943100"/>
        </a:xfrm>
        <a:prstGeom prst="rect">
          <a:avLst/>
        </a:prstGeom>
      </xdr:spPr>
    </xdr:pic>
    <xdr:clientData/>
  </xdr:twoCellAnchor>
  <xdr:oneCellAnchor>
    <xdr:from>
      <xdr:col>7</xdr:col>
      <xdr:colOff>294216</xdr:colOff>
      <xdr:row>5</xdr:row>
      <xdr:rowOff>40216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E487E82-E7AE-01EB-C546-6504595162B6}"/>
            </a:ext>
          </a:extLst>
        </xdr:cNvPr>
        <xdr:cNvSpPr txBox="1"/>
      </xdr:nvSpPr>
      <xdr:spPr>
        <a:xfrm>
          <a:off x="7279216" y="8551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294216</xdr:colOff>
      <xdr:row>7</xdr:row>
      <xdr:rowOff>40216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2CEA2B3-EF29-416A-A43D-2C9C406BFE0B}"/>
            </a:ext>
          </a:extLst>
        </xdr:cNvPr>
        <xdr:cNvSpPr txBox="1"/>
      </xdr:nvSpPr>
      <xdr:spPr>
        <a:xfrm>
          <a:off x="6898216" y="9609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294216</xdr:colOff>
      <xdr:row>6</xdr:row>
      <xdr:rowOff>40216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AD976EB-D730-4CE8-9D38-32EF81F3A036}"/>
            </a:ext>
          </a:extLst>
        </xdr:cNvPr>
        <xdr:cNvSpPr txBox="1"/>
      </xdr:nvSpPr>
      <xdr:spPr>
        <a:xfrm>
          <a:off x="6898216" y="9609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294216</xdr:colOff>
      <xdr:row>11</xdr:row>
      <xdr:rowOff>40216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75F2730-0BED-4CE5-B14B-8E3BD5EF4DCD}"/>
            </a:ext>
          </a:extLst>
        </xdr:cNvPr>
        <xdr:cNvSpPr txBox="1"/>
      </xdr:nvSpPr>
      <xdr:spPr>
        <a:xfrm>
          <a:off x="6898216" y="9609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</xdr:col>
      <xdr:colOff>238125</xdr:colOff>
      <xdr:row>80</xdr:row>
      <xdr:rowOff>95250</xdr:rowOff>
    </xdr:from>
    <xdr:to>
      <xdr:col>2</xdr:col>
      <xdr:colOff>800341</xdr:colOff>
      <xdr:row>89</xdr:row>
      <xdr:rowOff>19291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D643C7-CE3E-7915-E1A2-2E4CFCD15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7725" y="23345775"/>
          <a:ext cx="1724266" cy="1724266"/>
        </a:xfrm>
        <a:prstGeom prst="rect">
          <a:avLst/>
        </a:prstGeom>
      </xdr:spPr>
    </xdr:pic>
    <xdr:clientData/>
  </xdr:twoCellAnchor>
  <xdr:twoCellAnchor>
    <xdr:from>
      <xdr:col>1</xdr:col>
      <xdr:colOff>107955</xdr:colOff>
      <xdr:row>96</xdr:row>
      <xdr:rowOff>7239</xdr:rowOff>
    </xdr:from>
    <xdr:to>
      <xdr:col>2</xdr:col>
      <xdr:colOff>1107493</xdr:colOff>
      <xdr:row>101</xdr:row>
      <xdr:rowOff>82342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DFCE7A0D-675C-C6C3-13C5-135FB7037086}"/>
            </a:ext>
          </a:extLst>
        </xdr:cNvPr>
        <xdr:cNvGrpSpPr/>
      </xdr:nvGrpSpPr>
      <xdr:grpSpPr>
        <a:xfrm>
          <a:off x="1026837" y="23976621"/>
          <a:ext cx="2243391" cy="1055619"/>
          <a:chOff x="720868" y="26089174"/>
          <a:chExt cx="2159103" cy="1027603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3F2CDDCD-7C59-CFDC-FD4E-203BD7FFAE1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t="33122"/>
          <a:stretch>
            <a:fillRect/>
          </a:stretch>
        </xdr:blipFill>
        <xdr:spPr>
          <a:xfrm>
            <a:off x="720868" y="26089174"/>
            <a:ext cx="2159103" cy="973033"/>
          </a:xfrm>
          <a:prstGeom prst="rect">
            <a:avLst/>
          </a:prstGeom>
        </xdr:spPr>
      </xdr:pic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6EB133B7-56AE-E163-897A-B0CC3583A438}"/>
              </a:ext>
            </a:extLst>
          </xdr:cNvPr>
          <xdr:cNvSpPr txBox="1"/>
        </xdr:nvSpPr>
        <xdr:spPr>
          <a:xfrm>
            <a:off x="2120348" y="26852217"/>
            <a:ext cx="401648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tr-TR" sz="1100" b="1"/>
              <a:t>EPC</a:t>
            </a:r>
            <a:endParaRPr lang="en-US" sz="1100" b="1"/>
          </a:p>
        </xdr:txBody>
      </xdr:sp>
    </xdr:grp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016/j.jhazmat.2024.136659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07/s00253-005-0071-1" TargetMode="External"/><Relationship Id="rId2" Type="http://schemas.openxmlformats.org/officeDocument/2006/relationships/hyperlink" Target="https://doi.org/10.1002/anie.202216220" TargetMode="External"/><Relationship Id="rId1" Type="http://schemas.openxmlformats.org/officeDocument/2006/relationships/hyperlink" Target="https://doi.org/10.3390/polym9020065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zoomScale="70" zoomScaleNormal="70" workbookViewId="0">
      <pane xSplit="1" topLeftCell="B1" activePane="topRight" state="frozen"/>
      <selection pane="topRight" activeCell="G2" sqref="G2"/>
    </sheetView>
  </sheetViews>
  <sheetFormatPr defaultRowHeight="14.25" x14ac:dyDescent="0.45"/>
  <cols>
    <col min="1" max="1" width="9.1328125" customWidth="1"/>
    <col min="2" max="2" width="15.265625" customWidth="1"/>
    <col min="5" max="5" width="9.1328125" customWidth="1"/>
    <col min="6" max="6" width="14.86328125" customWidth="1"/>
    <col min="10" max="10" width="9.06640625" style="92"/>
  </cols>
  <sheetData>
    <row r="1" spans="1:12" ht="46.5" x14ac:dyDescent="0.45">
      <c r="A1" s="3" t="s">
        <v>0</v>
      </c>
      <c r="B1" s="3" t="s">
        <v>19</v>
      </c>
      <c r="C1" s="3" t="s">
        <v>24</v>
      </c>
      <c r="D1" s="3" t="s">
        <v>108</v>
      </c>
      <c r="E1" s="3" t="s">
        <v>25</v>
      </c>
      <c r="F1" s="3" t="s">
        <v>44</v>
      </c>
      <c r="G1" s="3" t="s">
        <v>45</v>
      </c>
      <c r="H1" s="3" t="s">
        <v>46</v>
      </c>
      <c r="I1" s="10" t="s">
        <v>206</v>
      </c>
      <c r="J1" s="91" t="s">
        <v>223</v>
      </c>
      <c r="K1" s="108" t="s">
        <v>234</v>
      </c>
      <c r="L1" s="108" t="s">
        <v>237</v>
      </c>
    </row>
    <row r="2" spans="1:12" ht="44.25" customHeight="1" x14ac:dyDescent="0.45">
      <c r="A2" s="4" t="s">
        <v>1</v>
      </c>
      <c r="B2" s="1" t="s">
        <v>92</v>
      </c>
      <c r="C2" s="4" t="s">
        <v>26</v>
      </c>
      <c r="D2" s="8" t="s">
        <v>109</v>
      </c>
      <c r="E2" s="4" t="s">
        <v>28</v>
      </c>
      <c r="F2" s="2" t="s">
        <v>62</v>
      </c>
      <c r="G2" s="5" t="s">
        <v>47</v>
      </c>
      <c r="H2" s="5" t="s">
        <v>218</v>
      </c>
      <c r="I2" t="s">
        <v>233</v>
      </c>
      <c r="L2" t="s">
        <v>235</v>
      </c>
    </row>
    <row r="3" spans="1:12" ht="44.25" customHeight="1" x14ac:dyDescent="0.45">
      <c r="A3" s="4" t="s">
        <v>2</v>
      </c>
      <c r="B3" s="1" t="s">
        <v>20</v>
      </c>
      <c r="C3" s="4" t="s">
        <v>26</v>
      </c>
      <c r="D3" s="8" t="s">
        <v>109</v>
      </c>
      <c r="E3" s="4" t="s">
        <v>29</v>
      </c>
      <c r="F3" s="2" t="s">
        <v>87</v>
      </c>
      <c r="G3" s="6" t="s">
        <v>86</v>
      </c>
      <c r="H3" s="5" t="s">
        <v>48</v>
      </c>
    </row>
    <row r="4" spans="1:12" ht="44.25" customHeight="1" x14ac:dyDescent="0.45">
      <c r="A4" s="4" t="s">
        <v>3</v>
      </c>
      <c r="B4" s="1" t="s">
        <v>21</v>
      </c>
      <c r="C4" s="4" t="s">
        <v>26</v>
      </c>
      <c r="D4" s="8" t="s">
        <v>109</v>
      </c>
      <c r="E4" s="4" t="s">
        <v>30</v>
      </c>
      <c r="F4" s="2" t="s">
        <v>89</v>
      </c>
      <c r="G4" s="4" t="s">
        <v>88</v>
      </c>
      <c r="H4" s="5" t="s">
        <v>49</v>
      </c>
    </row>
    <row r="5" spans="1:12" ht="44.25" customHeight="1" x14ac:dyDescent="0.45">
      <c r="A5" s="4" t="s">
        <v>6</v>
      </c>
      <c r="B5" s="1" t="s">
        <v>93</v>
      </c>
      <c r="C5" s="4" t="s">
        <v>33</v>
      </c>
      <c r="D5" s="8" t="s">
        <v>109</v>
      </c>
      <c r="E5" s="4" t="s">
        <v>34</v>
      </c>
      <c r="F5" s="2" t="s">
        <v>65</v>
      </c>
      <c r="G5" s="5" t="s">
        <v>52</v>
      </c>
      <c r="H5" s="5" t="s">
        <v>66</v>
      </c>
      <c r="J5" s="93" t="s">
        <v>227</v>
      </c>
      <c r="L5" t="s">
        <v>236</v>
      </c>
    </row>
    <row r="6" spans="1:12" ht="44.25" customHeight="1" x14ac:dyDescent="0.45">
      <c r="A6" s="4" t="s">
        <v>7</v>
      </c>
      <c r="B6" s="1" t="s">
        <v>94</v>
      </c>
      <c r="C6" s="16" t="s">
        <v>135</v>
      </c>
      <c r="D6" s="8" t="s">
        <v>109</v>
      </c>
      <c r="E6" s="4" t="s">
        <v>35</v>
      </c>
      <c r="F6" s="2" t="s">
        <v>102</v>
      </c>
      <c r="G6" s="5" t="s">
        <v>101</v>
      </c>
      <c r="H6" s="5" t="s">
        <v>67</v>
      </c>
      <c r="J6" s="93" t="s">
        <v>67</v>
      </c>
      <c r="K6" t="s">
        <v>238</v>
      </c>
    </row>
    <row r="7" spans="1:12" ht="44.25" customHeight="1" x14ac:dyDescent="0.45">
      <c r="A7" s="4" t="s">
        <v>8</v>
      </c>
      <c r="B7" s="1" t="s">
        <v>22</v>
      </c>
      <c r="C7" s="16" t="s">
        <v>135</v>
      </c>
      <c r="D7" s="8" t="s">
        <v>109</v>
      </c>
      <c r="E7" s="4" t="s">
        <v>35</v>
      </c>
      <c r="F7" s="2" t="s">
        <v>103</v>
      </c>
      <c r="G7" s="5" t="s">
        <v>98</v>
      </c>
      <c r="H7" s="5" t="s">
        <v>221</v>
      </c>
      <c r="J7" s="93" t="s">
        <v>230</v>
      </c>
      <c r="K7" t="s">
        <v>238</v>
      </c>
    </row>
    <row r="8" spans="1:12" ht="44.25" customHeight="1" x14ac:dyDescent="0.45">
      <c r="A8" s="4" t="s">
        <v>9</v>
      </c>
      <c r="B8" s="1" t="s">
        <v>22</v>
      </c>
      <c r="C8" s="16" t="s">
        <v>135</v>
      </c>
      <c r="D8" s="8" t="s">
        <v>109</v>
      </c>
      <c r="E8" s="4" t="s">
        <v>35</v>
      </c>
      <c r="F8" s="2" t="s">
        <v>53</v>
      </c>
      <c r="G8" s="5" t="s">
        <v>54</v>
      </c>
      <c r="H8" s="5" t="s">
        <v>222</v>
      </c>
      <c r="J8" s="93" t="s">
        <v>229</v>
      </c>
      <c r="K8" t="s">
        <v>238</v>
      </c>
    </row>
    <row r="9" spans="1:12" ht="44.25" customHeight="1" x14ac:dyDescent="0.45">
      <c r="A9" s="4" t="s">
        <v>10</v>
      </c>
      <c r="B9" s="7" t="s">
        <v>23</v>
      </c>
      <c r="C9" s="16" t="s">
        <v>135</v>
      </c>
      <c r="D9" s="8" t="s">
        <v>109</v>
      </c>
      <c r="E9" s="4" t="s">
        <v>35</v>
      </c>
      <c r="F9" s="2" t="s">
        <v>69</v>
      </c>
      <c r="G9" s="5" t="s">
        <v>68</v>
      </c>
      <c r="H9" s="5" t="s">
        <v>70</v>
      </c>
      <c r="J9" s="93" t="s">
        <v>226</v>
      </c>
      <c r="K9" t="s">
        <v>238</v>
      </c>
    </row>
    <row r="10" spans="1:12" ht="44.25" customHeight="1" x14ac:dyDescent="0.45">
      <c r="A10" s="4" t="s">
        <v>11</v>
      </c>
      <c r="B10" s="4" t="s">
        <v>55</v>
      </c>
      <c r="C10" s="16" t="s">
        <v>135</v>
      </c>
      <c r="D10" s="8" t="s">
        <v>110</v>
      </c>
      <c r="E10" s="4" t="s">
        <v>56</v>
      </c>
      <c r="F10" s="2" t="s">
        <v>85</v>
      </c>
      <c r="G10" s="5" t="s">
        <v>82</v>
      </c>
      <c r="H10" s="5" t="s">
        <v>219</v>
      </c>
    </row>
    <row r="11" spans="1:12" ht="44.25" customHeight="1" x14ac:dyDescent="0.45">
      <c r="A11" s="4" t="s">
        <v>12</v>
      </c>
      <c r="B11" s="1" t="s">
        <v>95</v>
      </c>
      <c r="C11" s="16" t="s">
        <v>135</v>
      </c>
      <c r="D11" s="8" t="s">
        <v>109</v>
      </c>
      <c r="E11" s="4" t="s">
        <v>36</v>
      </c>
      <c r="F11" s="2" t="s">
        <v>73</v>
      </c>
      <c r="G11" s="5" t="s">
        <v>72</v>
      </c>
      <c r="H11" s="5" t="s">
        <v>71</v>
      </c>
      <c r="J11" s="93" t="s">
        <v>224</v>
      </c>
    </row>
    <row r="12" spans="1:12" ht="44.25" customHeight="1" x14ac:dyDescent="0.45">
      <c r="A12" s="4" t="s">
        <v>13</v>
      </c>
      <c r="B12" s="1" t="s">
        <v>96</v>
      </c>
      <c r="C12" s="16" t="s">
        <v>135</v>
      </c>
      <c r="D12" s="8" t="s">
        <v>109</v>
      </c>
      <c r="E12" s="4" t="s">
        <v>37</v>
      </c>
      <c r="F12" s="2" t="s">
        <v>75</v>
      </c>
      <c r="G12" s="5" t="s">
        <v>74</v>
      </c>
      <c r="H12" s="5" t="s">
        <v>57</v>
      </c>
      <c r="J12" s="93" t="s">
        <v>225</v>
      </c>
    </row>
    <row r="13" spans="1:12" ht="44.25" customHeight="1" x14ac:dyDescent="0.45">
      <c r="A13" s="14" t="s">
        <v>115</v>
      </c>
      <c r="B13" s="15" t="s">
        <v>116</v>
      </c>
      <c r="C13" s="16" t="s">
        <v>135</v>
      </c>
      <c r="D13" s="12" t="s">
        <v>109</v>
      </c>
      <c r="E13" s="18" t="s">
        <v>134</v>
      </c>
      <c r="F13" s="16" t="s">
        <v>133</v>
      </c>
      <c r="G13" s="19" t="s">
        <v>216</v>
      </c>
      <c r="H13" s="19" t="s">
        <v>220</v>
      </c>
      <c r="I13" s="17" t="s">
        <v>121</v>
      </c>
      <c r="J13" s="93" t="s">
        <v>228</v>
      </c>
    </row>
    <row r="14" spans="1:12" ht="44.25" customHeight="1" x14ac:dyDescent="0.45">
      <c r="A14" s="4" t="s">
        <v>15</v>
      </c>
      <c r="B14" s="7" t="s">
        <v>23</v>
      </c>
      <c r="C14" s="4" t="s">
        <v>39</v>
      </c>
      <c r="D14" s="9" t="s">
        <v>130</v>
      </c>
      <c r="E14" s="4" t="s">
        <v>40</v>
      </c>
      <c r="F14" s="2" t="s">
        <v>79</v>
      </c>
      <c r="G14" s="5" t="s">
        <v>80</v>
      </c>
      <c r="H14" s="5" t="s">
        <v>60</v>
      </c>
    </row>
    <row r="15" spans="1:12" ht="44.25" customHeight="1" x14ac:dyDescent="0.45">
      <c r="A15" s="4" t="s">
        <v>16</v>
      </c>
      <c r="B15" s="7" t="s">
        <v>23</v>
      </c>
      <c r="C15" s="4" t="s">
        <v>39</v>
      </c>
      <c r="D15" s="9" t="s">
        <v>130</v>
      </c>
      <c r="E15" s="4" t="s">
        <v>41</v>
      </c>
      <c r="F15" s="2" t="s">
        <v>104</v>
      </c>
      <c r="G15" s="5" t="s">
        <v>81</v>
      </c>
      <c r="H15" s="5" t="s">
        <v>59</v>
      </c>
    </row>
    <row r="16" spans="1:12" ht="44.25" customHeight="1" x14ac:dyDescent="0.45">
      <c r="A16" s="4" t="s">
        <v>17</v>
      </c>
      <c r="B16" s="7" t="s">
        <v>23</v>
      </c>
      <c r="C16" s="4" t="s">
        <v>39</v>
      </c>
      <c r="D16" s="9" t="s">
        <v>130</v>
      </c>
      <c r="E16" s="4" t="s">
        <v>40</v>
      </c>
      <c r="F16" s="2" t="s">
        <v>100</v>
      </c>
      <c r="G16" s="5" t="s">
        <v>99</v>
      </c>
      <c r="H16" s="5" t="s">
        <v>61</v>
      </c>
    </row>
    <row r="17" spans="1:9" ht="44.25" customHeight="1" x14ac:dyDescent="0.45">
      <c r="A17" s="4" t="s">
        <v>18</v>
      </c>
      <c r="B17" s="1" t="s">
        <v>97</v>
      </c>
      <c r="C17" s="4" t="s">
        <v>42</v>
      </c>
      <c r="D17" s="9" t="s">
        <v>217</v>
      </c>
      <c r="E17" s="4" t="s">
        <v>43</v>
      </c>
      <c r="F17" s="2" t="s">
        <v>83</v>
      </c>
      <c r="G17" s="5" t="s">
        <v>137</v>
      </c>
      <c r="H17" s="5" t="s">
        <v>84</v>
      </c>
    </row>
    <row r="21" spans="1:9" ht="44.25" customHeight="1" x14ac:dyDescent="0.45">
      <c r="A21" s="14"/>
      <c r="B21" s="15"/>
      <c r="C21" s="16"/>
      <c r="D21" s="14"/>
      <c r="E21" s="16"/>
      <c r="F21" s="16"/>
      <c r="G21" s="16"/>
      <c r="H21" s="16"/>
      <c r="I21" s="17"/>
    </row>
    <row r="22" spans="1:9" ht="44.25" customHeight="1" x14ac:dyDescent="0.45">
      <c r="A22" s="13"/>
      <c r="B22" s="13"/>
      <c r="C22" s="13"/>
      <c r="D22" s="13"/>
      <c r="E22" s="13"/>
      <c r="F22" s="13"/>
      <c r="G22" s="13"/>
      <c r="H22" s="13"/>
    </row>
    <row r="23" spans="1:9" ht="44.25" customHeight="1" x14ac:dyDescent="0.45">
      <c r="A23" s="13"/>
      <c r="B23" s="13"/>
      <c r="C23" s="13"/>
      <c r="D23" s="13"/>
      <c r="E23" s="13"/>
      <c r="F23" s="13"/>
      <c r="G23" s="13"/>
      <c r="H23" s="13"/>
    </row>
    <row r="24" spans="1:9" ht="44.25" customHeight="1" x14ac:dyDescent="0.45">
      <c r="A24" s="13"/>
      <c r="B24" s="13"/>
      <c r="C24" s="13"/>
      <c r="D24" s="13"/>
      <c r="E24" s="13"/>
      <c r="F24" s="13"/>
      <c r="G24" s="13"/>
      <c r="H24" s="13"/>
    </row>
    <row r="25" spans="1:9" ht="44.25" customHeight="1" x14ac:dyDescent="0.45">
      <c r="A25" s="13"/>
      <c r="B25" s="13"/>
      <c r="C25" s="13"/>
      <c r="D25" s="13"/>
      <c r="E25" s="13"/>
      <c r="F25" s="13"/>
      <c r="G25" s="13"/>
      <c r="H25" s="13"/>
    </row>
    <row r="26" spans="1:9" ht="44.25" customHeight="1" x14ac:dyDescent="0.45">
      <c r="A26" s="13"/>
      <c r="B26" s="13"/>
      <c r="C26" s="13"/>
      <c r="D26" s="13"/>
      <c r="E26" s="13"/>
      <c r="F26" s="13"/>
      <c r="G26" s="13"/>
      <c r="H26" s="13"/>
    </row>
    <row r="27" spans="1:9" ht="44.25" customHeight="1" x14ac:dyDescent="0.45">
      <c r="A27" s="13"/>
      <c r="B27" s="13"/>
      <c r="C27" s="13"/>
      <c r="D27" s="13"/>
      <c r="E27" s="13"/>
      <c r="F27" s="13"/>
      <c r="G27" s="13"/>
      <c r="H27" s="13"/>
    </row>
    <row r="28" spans="1:9" ht="44.25" customHeight="1" x14ac:dyDescent="0.45">
      <c r="A28" s="11"/>
      <c r="B28" s="11"/>
      <c r="C28" s="11"/>
      <c r="D28" s="11"/>
      <c r="E28" s="11"/>
      <c r="F28" s="11"/>
      <c r="G28" s="11"/>
      <c r="H28" s="11"/>
    </row>
    <row r="29" spans="1:9" ht="44.25" customHeight="1" x14ac:dyDescent="0.45">
      <c r="A29" s="11"/>
      <c r="B29" s="11"/>
      <c r="C29" s="11"/>
      <c r="D29" s="11"/>
      <c r="E29" s="11"/>
      <c r="F29" s="11"/>
      <c r="G29" s="94" t="s">
        <v>232</v>
      </c>
      <c r="H29" s="11" t="s">
        <v>231</v>
      </c>
    </row>
    <row r="32" spans="1:9" ht="44.25" customHeight="1" x14ac:dyDescent="0.45"/>
    <row r="33" spans="1:10" s="107" customFormat="1" ht="44.25" customHeight="1" x14ac:dyDescent="0.45">
      <c r="A33" s="105" t="s">
        <v>107</v>
      </c>
      <c r="B33" s="106"/>
      <c r="C33" s="106"/>
      <c r="D33" s="106"/>
      <c r="E33" s="106"/>
      <c r="F33" s="106"/>
      <c r="G33" s="106"/>
      <c r="H33" s="106"/>
      <c r="I33" s="106"/>
      <c r="J33" s="106"/>
    </row>
    <row r="34" spans="1:10" ht="44.25" customHeight="1" x14ac:dyDescent="0.45"/>
    <row r="35" spans="1:10" s="17" customFormat="1" ht="44.25" customHeight="1" x14ac:dyDescent="0.45">
      <c r="A35" s="95" t="s">
        <v>4</v>
      </c>
      <c r="B35" s="96" t="s">
        <v>21</v>
      </c>
      <c r="C35" s="95" t="s">
        <v>26</v>
      </c>
      <c r="D35" s="95" t="s">
        <v>109</v>
      </c>
      <c r="E35" s="95" t="s">
        <v>31</v>
      </c>
      <c r="F35" s="97" t="s">
        <v>91</v>
      </c>
      <c r="G35" s="95" t="s">
        <v>90</v>
      </c>
      <c r="H35" s="98" t="s">
        <v>50</v>
      </c>
      <c r="J35" s="99"/>
    </row>
    <row r="36" spans="1:10" s="17" customFormat="1" ht="44.25" customHeight="1" x14ac:dyDescent="0.45">
      <c r="A36" s="95" t="s">
        <v>14</v>
      </c>
      <c r="B36" s="96" t="s">
        <v>58</v>
      </c>
      <c r="C36" s="95" t="s">
        <v>33</v>
      </c>
      <c r="D36" s="95" t="s">
        <v>27</v>
      </c>
      <c r="E36" s="95" t="s">
        <v>38</v>
      </c>
      <c r="F36" s="97" t="s">
        <v>77</v>
      </c>
      <c r="G36" s="98" t="s">
        <v>76</v>
      </c>
      <c r="H36" s="98" t="s">
        <v>78</v>
      </c>
      <c r="I36" s="17" t="s">
        <v>106</v>
      </c>
      <c r="J36" s="99"/>
    </row>
    <row r="37" spans="1:10" s="17" customFormat="1" ht="48" customHeight="1" x14ac:dyDescent="0.45">
      <c r="A37" s="95" t="s">
        <v>5</v>
      </c>
      <c r="B37" s="96" t="s">
        <v>63</v>
      </c>
      <c r="C37" s="95" t="s">
        <v>26</v>
      </c>
      <c r="D37" s="95" t="s">
        <v>27</v>
      </c>
      <c r="E37" s="95" t="s">
        <v>32</v>
      </c>
      <c r="F37" s="97" t="s">
        <v>105</v>
      </c>
      <c r="G37" s="98" t="s">
        <v>51</v>
      </c>
      <c r="H37" s="98" t="s">
        <v>64</v>
      </c>
      <c r="I37" s="17" t="s">
        <v>148</v>
      </c>
      <c r="J37" s="100" t="s">
        <v>136</v>
      </c>
    </row>
    <row r="38" spans="1:10" s="17" customFormat="1" ht="44.25" customHeight="1" x14ac:dyDescent="0.45">
      <c r="A38" s="14" t="s">
        <v>112</v>
      </c>
      <c r="B38" s="101" t="s">
        <v>114</v>
      </c>
      <c r="C38" s="16" t="s">
        <v>118</v>
      </c>
      <c r="D38" s="14" t="s">
        <v>111</v>
      </c>
      <c r="E38" s="102" t="s">
        <v>123</v>
      </c>
      <c r="F38" s="103" t="s">
        <v>131</v>
      </c>
      <c r="G38" s="19" t="s">
        <v>132</v>
      </c>
      <c r="H38" s="16"/>
      <c r="I38" s="17" t="s">
        <v>122</v>
      </c>
      <c r="J38" s="99"/>
    </row>
    <row r="39" spans="1:10" s="17" customFormat="1" ht="44.25" customHeight="1" x14ac:dyDescent="0.45">
      <c r="A39" s="14" t="s">
        <v>113</v>
      </c>
      <c r="B39" s="101" t="s">
        <v>125</v>
      </c>
      <c r="C39" s="16" t="s">
        <v>118</v>
      </c>
      <c r="D39" s="14" t="s">
        <v>111</v>
      </c>
      <c r="E39" s="104" t="s">
        <v>126</v>
      </c>
      <c r="F39" s="16" t="s">
        <v>127</v>
      </c>
      <c r="G39" s="19" t="s">
        <v>124</v>
      </c>
      <c r="H39" s="16"/>
      <c r="J39" s="99"/>
    </row>
    <row r="40" spans="1:10" s="17" customFormat="1" ht="44.25" customHeight="1" x14ac:dyDescent="0.45">
      <c r="A40" s="16" t="s">
        <v>117</v>
      </c>
      <c r="B40" s="16" t="s">
        <v>119</v>
      </c>
      <c r="C40" s="16" t="s">
        <v>118</v>
      </c>
      <c r="D40" s="14" t="s">
        <v>111</v>
      </c>
      <c r="E40" s="104" t="s">
        <v>129</v>
      </c>
      <c r="F40" s="16" t="s">
        <v>120</v>
      </c>
      <c r="G40" s="19" t="s">
        <v>128</v>
      </c>
      <c r="H40" s="16"/>
      <c r="J40" s="99"/>
    </row>
  </sheetData>
  <mergeCells count="1">
    <mergeCell ref="A33:XFD33"/>
  </mergeCells>
  <hyperlinks>
    <hyperlink ref="E13" r:id="rId1" xr:uid="{3E64BAFF-3A47-4771-983F-66EC47A661B8}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0C42-6E71-47F0-8A75-B5BD9E1FD614}">
  <dimension ref="A1:P63"/>
  <sheetViews>
    <sheetView zoomScale="85" zoomScaleNormal="85" workbookViewId="0">
      <pane ySplit="1" topLeftCell="A46" activePane="bottomLeft" state="frozen"/>
      <selection pane="bottomLeft" activeCell="F55" sqref="F55"/>
    </sheetView>
  </sheetViews>
  <sheetFormatPr defaultRowHeight="15.4" x14ac:dyDescent="0.45"/>
  <cols>
    <col min="1" max="1" width="12.86328125" customWidth="1"/>
    <col min="2" max="2" width="17.3984375" style="78" bestFit="1" customWidth="1"/>
    <col min="3" max="3" width="43.3984375" style="66" bestFit="1" customWidth="1"/>
    <col min="4" max="4" width="9" bestFit="1" customWidth="1"/>
    <col min="5" max="5" width="7.265625" bestFit="1" customWidth="1"/>
    <col min="6" max="6" width="8.73046875" style="26" bestFit="1" customWidth="1"/>
    <col min="7" max="7" width="8.73046875" style="27" bestFit="1" customWidth="1"/>
    <col min="8" max="8" width="13.73046875" bestFit="1" customWidth="1"/>
    <col min="9" max="9" width="13.73046875" style="22" bestFit="1" customWidth="1"/>
    <col min="10" max="11" width="11.73046875" style="28" bestFit="1" customWidth="1"/>
    <col min="12" max="12" width="6.86328125" style="23" bestFit="1" customWidth="1"/>
    <col min="13" max="13" width="6.3984375" style="20" bestFit="1" customWidth="1"/>
    <col min="14" max="14" width="8.86328125" bestFit="1" customWidth="1"/>
    <col min="15" max="15" width="46.86328125" style="52" bestFit="1" customWidth="1"/>
    <col min="16" max="16" width="255.73046875" style="58" bestFit="1" customWidth="1"/>
  </cols>
  <sheetData>
    <row r="1" spans="1:16" ht="66" thickBot="1" x14ac:dyDescent="0.5">
      <c r="A1" s="3" t="s">
        <v>138</v>
      </c>
      <c r="B1" s="54" t="s">
        <v>139</v>
      </c>
      <c r="C1" s="62" t="s">
        <v>141</v>
      </c>
      <c r="D1" s="60" t="s">
        <v>181</v>
      </c>
      <c r="E1" s="29" t="s">
        <v>145</v>
      </c>
      <c r="F1" s="70" t="s">
        <v>185</v>
      </c>
      <c r="G1" s="35" t="s">
        <v>186</v>
      </c>
      <c r="H1" s="30" t="s">
        <v>188</v>
      </c>
      <c r="I1" s="32" t="s">
        <v>189</v>
      </c>
      <c r="J1" s="33" t="s">
        <v>192</v>
      </c>
      <c r="K1" s="34" t="s">
        <v>193</v>
      </c>
      <c r="L1" s="50" t="s">
        <v>180</v>
      </c>
      <c r="M1" s="31" t="s">
        <v>142</v>
      </c>
      <c r="N1" s="3" t="s">
        <v>143</v>
      </c>
      <c r="O1" s="54" t="s">
        <v>194</v>
      </c>
      <c r="P1" s="24" t="s">
        <v>157</v>
      </c>
    </row>
    <row r="2" spans="1:16" x14ac:dyDescent="0.45">
      <c r="A2" s="61" t="s">
        <v>12</v>
      </c>
      <c r="B2" s="76" t="s">
        <v>210</v>
      </c>
      <c r="C2" s="63" t="s">
        <v>207</v>
      </c>
      <c r="D2" s="72"/>
      <c r="E2" s="40"/>
      <c r="F2" s="48">
        <v>100</v>
      </c>
      <c r="G2" s="49"/>
      <c r="H2" s="43"/>
      <c r="I2" s="49"/>
      <c r="J2" s="42"/>
      <c r="K2" s="42"/>
      <c r="L2" s="43">
        <v>0.5</v>
      </c>
      <c r="M2" s="44">
        <v>8</v>
      </c>
      <c r="N2" s="40">
        <v>55</v>
      </c>
      <c r="O2" s="51" t="s">
        <v>151</v>
      </c>
      <c r="P2" s="53" t="s">
        <v>162</v>
      </c>
    </row>
    <row r="3" spans="1:16" ht="23.25" x14ac:dyDescent="0.45">
      <c r="A3" s="4" t="s">
        <v>10</v>
      </c>
      <c r="B3" s="76" t="s">
        <v>160</v>
      </c>
      <c r="C3" s="63" t="s">
        <v>207</v>
      </c>
      <c r="D3" s="74"/>
      <c r="E3" s="40"/>
      <c r="F3" s="43">
        <v>23.5</v>
      </c>
      <c r="G3" s="49"/>
      <c r="H3" s="43"/>
      <c r="I3" s="49"/>
      <c r="J3" s="42"/>
      <c r="K3" s="42"/>
      <c r="L3" s="43">
        <v>3</v>
      </c>
      <c r="M3" s="44">
        <v>8</v>
      </c>
      <c r="N3" s="40">
        <v>55</v>
      </c>
      <c r="O3" s="51" t="s">
        <v>151</v>
      </c>
      <c r="P3" s="53" t="s">
        <v>162</v>
      </c>
    </row>
    <row r="4" spans="1:16" ht="34.9" x14ac:dyDescent="0.45">
      <c r="A4" s="4" t="s">
        <v>11</v>
      </c>
      <c r="B4" s="76" t="s">
        <v>55</v>
      </c>
      <c r="C4" s="63" t="s">
        <v>207</v>
      </c>
      <c r="D4" s="73"/>
      <c r="E4" s="40"/>
      <c r="F4" s="41">
        <v>10.7</v>
      </c>
      <c r="G4" s="40"/>
      <c r="H4" s="40"/>
      <c r="I4" s="40"/>
      <c r="J4" s="42"/>
      <c r="K4" s="42"/>
      <c r="L4" s="43">
        <v>3</v>
      </c>
      <c r="M4" s="44">
        <v>8</v>
      </c>
      <c r="N4" s="40">
        <v>55</v>
      </c>
      <c r="O4" s="51" t="s">
        <v>151</v>
      </c>
      <c r="P4" s="53" t="s">
        <v>162</v>
      </c>
    </row>
    <row r="5" spans="1:16" ht="23.25" x14ac:dyDescent="0.45">
      <c r="A5" s="4" t="s">
        <v>7</v>
      </c>
      <c r="B5" s="76" t="s">
        <v>211</v>
      </c>
      <c r="C5" s="63" t="s">
        <v>207</v>
      </c>
      <c r="D5" s="73"/>
      <c r="E5" s="40"/>
      <c r="F5" s="43">
        <v>5.3</v>
      </c>
      <c r="G5" s="49"/>
      <c r="H5" s="43"/>
      <c r="I5" s="49"/>
      <c r="J5" s="42"/>
      <c r="K5" s="42"/>
      <c r="L5" s="43">
        <v>3</v>
      </c>
      <c r="M5" s="44">
        <v>8</v>
      </c>
      <c r="N5" s="40">
        <v>55</v>
      </c>
      <c r="O5" s="51" t="s">
        <v>151</v>
      </c>
      <c r="P5" s="53" t="s">
        <v>162</v>
      </c>
    </row>
    <row r="6" spans="1:16" ht="23.25" x14ac:dyDescent="0.45">
      <c r="A6" s="4" t="s">
        <v>1</v>
      </c>
      <c r="B6" s="76" t="s">
        <v>212</v>
      </c>
      <c r="C6" s="64" t="s">
        <v>209</v>
      </c>
      <c r="D6" s="71"/>
      <c r="E6" s="40"/>
      <c r="F6" s="41"/>
      <c r="G6" s="46"/>
      <c r="H6" s="40"/>
      <c r="I6" s="46"/>
      <c r="J6" s="47">
        <v>13.846</v>
      </c>
      <c r="K6" s="47">
        <v>3.2090000000000001</v>
      </c>
      <c r="L6" s="43" t="s">
        <v>23</v>
      </c>
      <c r="M6" s="44">
        <v>7.5</v>
      </c>
      <c r="N6" s="40">
        <v>30</v>
      </c>
      <c r="O6" s="51" t="s">
        <v>144</v>
      </c>
      <c r="P6" s="53" t="s">
        <v>191</v>
      </c>
    </row>
    <row r="7" spans="1:16" ht="23.25" x14ac:dyDescent="0.45">
      <c r="A7" s="4" t="s">
        <v>3</v>
      </c>
      <c r="B7" s="76" t="s">
        <v>21</v>
      </c>
      <c r="C7" s="64" t="s">
        <v>209</v>
      </c>
      <c r="D7" s="38"/>
      <c r="E7" s="40"/>
      <c r="F7" s="41"/>
      <c r="G7" s="46"/>
      <c r="H7" s="40"/>
      <c r="I7" s="46"/>
      <c r="J7" s="47">
        <v>12.569000000000001</v>
      </c>
      <c r="K7" s="47">
        <v>1.871</v>
      </c>
      <c r="L7" s="43" t="s">
        <v>23</v>
      </c>
      <c r="M7" s="44">
        <v>7.5</v>
      </c>
      <c r="N7" s="40">
        <v>30</v>
      </c>
      <c r="O7" s="51" t="s">
        <v>144</v>
      </c>
      <c r="P7" s="53" t="s">
        <v>140</v>
      </c>
    </row>
    <row r="8" spans="1:16" ht="23.25" x14ac:dyDescent="0.45">
      <c r="A8" s="4" t="s">
        <v>2</v>
      </c>
      <c r="B8" s="76" t="s">
        <v>20</v>
      </c>
      <c r="C8" s="64" t="s">
        <v>209</v>
      </c>
      <c r="D8" s="38"/>
      <c r="E8" s="40"/>
      <c r="F8" s="41"/>
      <c r="G8" s="46"/>
      <c r="H8" s="40"/>
      <c r="I8" s="46"/>
      <c r="J8" s="47">
        <v>1.9019999999999999</v>
      </c>
      <c r="K8" s="47">
        <v>0.04</v>
      </c>
      <c r="L8" s="43" t="s">
        <v>23</v>
      </c>
      <c r="M8" s="44">
        <v>7.5</v>
      </c>
      <c r="N8" s="40">
        <v>25</v>
      </c>
      <c r="O8" s="51" t="s">
        <v>144</v>
      </c>
      <c r="P8" s="53" t="s">
        <v>140</v>
      </c>
    </row>
    <row r="9" spans="1:16" ht="23.25" x14ac:dyDescent="0.45">
      <c r="A9" s="4" t="s">
        <v>8</v>
      </c>
      <c r="B9" s="76" t="s">
        <v>22</v>
      </c>
      <c r="C9" s="63" t="s">
        <v>208</v>
      </c>
      <c r="D9" s="37"/>
      <c r="E9" s="40"/>
      <c r="F9" s="41"/>
      <c r="G9" s="46"/>
      <c r="H9" s="40"/>
      <c r="I9" s="46"/>
      <c r="J9" s="47">
        <v>5</v>
      </c>
      <c r="K9" s="47">
        <v>2</v>
      </c>
      <c r="L9" s="43" t="s">
        <v>23</v>
      </c>
      <c r="M9" s="44">
        <v>8</v>
      </c>
      <c r="N9" s="40">
        <v>60</v>
      </c>
      <c r="O9" s="51" t="s">
        <v>149</v>
      </c>
      <c r="P9" s="57" t="s">
        <v>165</v>
      </c>
    </row>
    <row r="10" spans="1:16" ht="23.25" x14ac:dyDescent="0.45">
      <c r="A10" s="4" t="s">
        <v>9</v>
      </c>
      <c r="B10" s="76" t="s">
        <v>22</v>
      </c>
      <c r="C10" s="63" t="s">
        <v>208</v>
      </c>
      <c r="D10" s="37"/>
      <c r="E10" s="40"/>
      <c r="F10" s="41"/>
      <c r="G10" s="46"/>
      <c r="H10" s="40"/>
      <c r="I10" s="46"/>
      <c r="J10" s="47">
        <v>1.1299999999999999</v>
      </c>
      <c r="K10" s="47">
        <v>0.42899999999999999</v>
      </c>
      <c r="L10" s="43" t="s">
        <v>23</v>
      </c>
      <c r="M10" s="44">
        <v>8</v>
      </c>
      <c r="N10" s="40">
        <v>60</v>
      </c>
      <c r="O10" s="51" t="s">
        <v>149</v>
      </c>
      <c r="P10" s="57" t="s">
        <v>165</v>
      </c>
    </row>
    <row r="11" spans="1:16" ht="23.25" x14ac:dyDescent="0.45">
      <c r="A11" s="4" t="s">
        <v>10</v>
      </c>
      <c r="B11" s="76" t="s">
        <v>160</v>
      </c>
      <c r="C11" s="63" t="s">
        <v>208</v>
      </c>
      <c r="D11" s="37"/>
      <c r="E11" s="40"/>
      <c r="F11" s="41"/>
      <c r="G11" s="46"/>
      <c r="H11" s="40"/>
      <c r="I11" s="46"/>
      <c r="J11" s="47">
        <v>0.57899999999999996</v>
      </c>
      <c r="K11" s="47">
        <v>0.222</v>
      </c>
      <c r="L11" s="43" t="s">
        <v>23</v>
      </c>
      <c r="M11" s="44">
        <v>8</v>
      </c>
      <c r="N11" s="40">
        <v>70</v>
      </c>
      <c r="O11" s="51" t="s">
        <v>149</v>
      </c>
      <c r="P11" s="57" t="s">
        <v>165</v>
      </c>
    </row>
    <row r="12" spans="1:16" ht="23.25" x14ac:dyDescent="0.45">
      <c r="A12" s="4" t="s">
        <v>7</v>
      </c>
      <c r="B12" s="76" t="s">
        <v>211</v>
      </c>
      <c r="C12" s="63" t="s">
        <v>208</v>
      </c>
      <c r="D12" s="37"/>
      <c r="E12" s="40"/>
      <c r="F12" s="41"/>
      <c r="G12" s="46"/>
      <c r="H12" s="40"/>
      <c r="I12" s="46"/>
      <c r="J12" s="47">
        <v>0.13800000000000001</v>
      </c>
      <c r="K12" s="47">
        <v>4.2000000000000003E-2</v>
      </c>
      <c r="L12" s="43" t="s">
        <v>23</v>
      </c>
      <c r="M12" s="44">
        <v>8</v>
      </c>
      <c r="N12" s="40">
        <v>70</v>
      </c>
      <c r="O12" s="55" t="s">
        <v>149</v>
      </c>
      <c r="P12" s="57" t="s">
        <v>165</v>
      </c>
    </row>
    <row r="13" spans="1:16" ht="23.25" x14ac:dyDescent="0.45">
      <c r="A13" s="68" t="s">
        <v>112</v>
      </c>
      <c r="B13" s="76" t="s">
        <v>114</v>
      </c>
      <c r="C13" s="65" t="s">
        <v>167</v>
      </c>
      <c r="D13" s="21"/>
    </row>
    <row r="14" spans="1:16" ht="23.25" x14ac:dyDescent="0.45">
      <c r="A14" s="68" t="s">
        <v>113</v>
      </c>
      <c r="B14" s="76" t="s">
        <v>125</v>
      </c>
      <c r="C14" s="65" t="s">
        <v>167</v>
      </c>
      <c r="D14" s="21"/>
    </row>
    <row r="15" spans="1:16" x14ac:dyDescent="0.45">
      <c r="A15" s="69" t="s">
        <v>117</v>
      </c>
      <c r="B15" s="77" t="s">
        <v>119</v>
      </c>
      <c r="C15" s="65" t="s">
        <v>167</v>
      </c>
      <c r="D15" s="21"/>
    </row>
    <row r="16" spans="1:16" x14ac:dyDescent="0.45">
      <c r="A16" s="4" t="s">
        <v>12</v>
      </c>
      <c r="B16" s="76" t="s">
        <v>210</v>
      </c>
      <c r="C16" s="64" t="s">
        <v>161</v>
      </c>
      <c r="D16" s="37">
        <v>30</v>
      </c>
      <c r="E16" s="40">
        <v>0.4</v>
      </c>
      <c r="F16" s="48">
        <v>40.5</v>
      </c>
      <c r="G16" s="49"/>
      <c r="H16" s="43">
        <f t="shared" ref="H16:H42" si="0">((F16*D16)/100)/(E16*L16)</f>
        <v>2.5312499999999996</v>
      </c>
      <c r="I16" s="49"/>
      <c r="J16" s="42"/>
      <c r="K16" s="42"/>
      <c r="L16" s="43">
        <v>12</v>
      </c>
      <c r="M16" s="44">
        <v>8</v>
      </c>
      <c r="N16" s="40">
        <v>55</v>
      </c>
      <c r="O16" s="51" t="s">
        <v>151</v>
      </c>
      <c r="P16" s="56" t="s">
        <v>163</v>
      </c>
    </row>
    <row r="17" spans="1:16" ht="23.25" x14ac:dyDescent="0.45">
      <c r="A17" s="4" t="s">
        <v>10</v>
      </c>
      <c r="B17" s="76" t="s">
        <v>160</v>
      </c>
      <c r="C17" s="64" t="s">
        <v>161</v>
      </c>
      <c r="D17" s="37">
        <v>30</v>
      </c>
      <c r="E17" s="40">
        <v>0.4</v>
      </c>
      <c r="F17" s="43">
        <v>20.8</v>
      </c>
      <c r="G17" s="49"/>
      <c r="H17" s="43">
        <f t="shared" si="0"/>
        <v>1.2999999999999998</v>
      </c>
      <c r="I17" s="49"/>
      <c r="J17" s="42"/>
      <c r="K17" s="42"/>
      <c r="L17" s="43">
        <v>12</v>
      </c>
      <c r="M17" s="44">
        <v>8</v>
      </c>
      <c r="N17" s="40">
        <v>65</v>
      </c>
      <c r="O17" s="51" t="s">
        <v>151</v>
      </c>
      <c r="P17" s="56" t="s">
        <v>163</v>
      </c>
    </row>
    <row r="18" spans="1:16" ht="34.9" x14ac:dyDescent="0.45">
      <c r="A18" s="4" t="s">
        <v>11</v>
      </c>
      <c r="B18" s="76" t="s">
        <v>55</v>
      </c>
      <c r="C18" s="64" t="s">
        <v>161</v>
      </c>
      <c r="D18" s="37">
        <v>30</v>
      </c>
      <c r="E18" s="40">
        <v>0.4</v>
      </c>
      <c r="F18" s="43">
        <v>13.7</v>
      </c>
      <c r="G18" s="49"/>
      <c r="H18" s="43">
        <f t="shared" si="0"/>
        <v>0.85624999999999996</v>
      </c>
      <c r="I18" s="49"/>
      <c r="J18" s="42"/>
      <c r="K18" s="42"/>
      <c r="L18" s="43">
        <v>12</v>
      </c>
      <c r="M18" s="44">
        <v>8</v>
      </c>
      <c r="N18" s="40">
        <v>70</v>
      </c>
      <c r="O18" s="51" t="s">
        <v>151</v>
      </c>
      <c r="P18" s="56" t="s">
        <v>163</v>
      </c>
    </row>
    <row r="19" spans="1:16" ht="23.25" x14ac:dyDescent="0.45">
      <c r="A19" s="4" t="s">
        <v>7</v>
      </c>
      <c r="B19" s="76" t="s">
        <v>211</v>
      </c>
      <c r="C19" s="64" t="s">
        <v>161</v>
      </c>
      <c r="D19" s="37">
        <v>30</v>
      </c>
      <c r="E19" s="40">
        <v>0.4</v>
      </c>
      <c r="F19" s="43">
        <v>9.3000000000000007</v>
      </c>
      <c r="G19" s="49"/>
      <c r="H19" s="43">
        <f t="shared" si="0"/>
        <v>0.58124999999999993</v>
      </c>
      <c r="I19" s="49"/>
      <c r="J19" s="42"/>
      <c r="K19" s="42"/>
      <c r="L19" s="43">
        <v>12</v>
      </c>
      <c r="M19" s="44">
        <v>8</v>
      </c>
      <c r="N19" s="40">
        <v>65</v>
      </c>
      <c r="O19" s="51" t="s">
        <v>151</v>
      </c>
      <c r="P19" s="56" t="s">
        <v>163</v>
      </c>
    </row>
    <row r="20" spans="1:16" ht="23.25" x14ac:dyDescent="0.45">
      <c r="A20" s="4" t="s">
        <v>1</v>
      </c>
      <c r="B20" s="76" t="s">
        <v>212</v>
      </c>
      <c r="C20" s="64" t="s">
        <v>146</v>
      </c>
      <c r="D20" s="38">
        <v>20</v>
      </c>
      <c r="E20" s="40">
        <v>0.3</v>
      </c>
      <c r="F20" s="48">
        <v>7.9</v>
      </c>
      <c r="G20" s="43">
        <v>0.7</v>
      </c>
      <c r="H20" s="43">
        <f t="shared" si="0"/>
        <v>4.3888888888888894E-2</v>
      </c>
      <c r="I20" s="43"/>
      <c r="J20" s="42"/>
      <c r="K20" s="42"/>
      <c r="L20" s="43">
        <v>120</v>
      </c>
      <c r="M20" s="44">
        <v>7.5</v>
      </c>
      <c r="N20" s="40">
        <v>30</v>
      </c>
      <c r="O20" s="51" t="s">
        <v>144</v>
      </c>
      <c r="P20" s="53" t="s">
        <v>155</v>
      </c>
    </row>
    <row r="21" spans="1:16" ht="23.25" x14ac:dyDescent="0.45">
      <c r="A21" s="4" t="s">
        <v>3</v>
      </c>
      <c r="B21" s="76" t="s">
        <v>21</v>
      </c>
      <c r="C21" s="64" t="s">
        <v>146</v>
      </c>
      <c r="D21" s="38">
        <v>20</v>
      </c>
      <c r="E21" s="40">
        <v>0.3</v>
      </c>
      <c r="F21" s="43">
        <v>7.6</v>
      </c>
      <c r="G21" s="43">
        <v>0.6</v>
      </c>
      <c r="H21" s="43">
        <f t="shared" si="0"/>
        <v>4.2222222222222223E-2</v>
      </c>
      <c r="I21" s="49"/>
      <c r="J21" s="42"/>
      <c r="K21" s="42"/>
      <c r="L21" s="43">
        <v>120</v>
      </c>
      <c r="M21" s="44">
        <v>7.5</v>
      </c>
      <c r="N21" s="40">
        <v>30</v>
      </c>
      <c r="O21" s="51" t="s">
        <v>144</v>
      </c>
      <c r="P21" s="53" t="s">
        <v>155</v>
      </c>
    </row>
    <row r="22" spans="1:16" ht="23.25" x14ac:dyDescent="0.45">
      <c r="A22" s="4" t="s">
        <v>2</v>
      </c>
      <c r="B22" s="76" t="s">
        <v>20</v>
      </c>
      <c r="C22" s="64" t="s">
        <v>146</v>
      </c>
      <c r="D22" s="38">
        <v>20</v>
      </c>
      <c r="E22" s="40">
        <v>0.3</v>
      </c>
      <c r="F22" s="43">
        <v>1.9</v>
      </c>
      <c r="G22" s="43">
        <v>0.1</v>
      </c>
      <c r="H22" s="43">
        <f t="shared" si="0"/>
        <v>1.0555555555555556E-2</v>
      </c>
      <c r="I22" s="49"/>
      <c r="J22" s="42"/>
      <c r="K22" s="42"/>
      <c r="L22" s="43">
        <v>120</v>
      </c>
      <c r="M22" s="44">
        <v>7.5</v>
      </c>
      <c r="N22" s="40">
        <v>25</v>
      </c>
      <c r="O22" s="51" t="s">
        <v>144</v>
      </c>
      <c r="P22" s="53" t="s">
        <v>155</v>
      </c>
    </row>
    <row r="23" spans="1:16" ht="23.25" x14ac:dyDescent="0.45">
      <c r="A23" s="4" t="s">
        <v>10</v>
      </c>
      <c r="B23" s="76" t="s">
        <v>160</v>
      </c>
      <c r="C23" s="64" t="s">
        <v>158</v>
      </c>
      <c r="D23" s="37">
        <v>80</v>
      </c>
      <c r="E23" s="40">
        <v>0.05</v>
      </c>
      <c r="F23" s="43">
        <v>3.2</v>
      </c>
      <c r="G23" s="43">
        <v>0.5</v>
      </c>
      <c r="H23" s="43">
        <f t="shared" si="0"/>
        <v>0.51200000000000001</v>
      </c>
      <c r="I23" s="49"/>
      <c r="J23" s="42"/>
      <c r="K23" s="42"/>
      <c r="L23" s="43">
        <v>100</v>
      </c>
      <c r="M23" s="44">
        <v>8</v>
      </c>
      <c r="N23" s="40">
        <v>70</v>
      </c>
      <c r="O23" s="51" t="s">
        <v>149</v>
      </c>
      <c r="P23" s="57" t="s">
        <v>164</v>
      </c>
    </row>
    <row r="24" spans="1:16" ht="23.25" x14ac:dyDescent="0.45">
      <c r="A24" s="4" t="s">
        <v>7</v>
      </c>
      <c r="B24" s="76" t="s">
        <v>211</v>
      </c>
      <c r="C24" s="64" t="s">
        <v>158</v>
      </c>
      <c r="D24" s="37">
        <v>80</v>
      </c>
      <c r="E24" s="40">
        <v>0.05</v>
      </c>
      <c r="F24" s="43">
        <v>1.9</v>
      </c>
      <c r="G24" s="43">
        <v>0.3</v>
      </c>
      <c r="H24" s="43">
        <f t="shared" si="0"/>
        <v>0.30399999999999999</v>
      </c>
      <c r="I24" s="49"/>
      <c r="J24" s="42"/>
      <c r="K24" s="42"/>
      <c r="L24" s="43">
        <v>100</v>
      </c>
      <c r="M24" s="44">
        <v>8</v>
      </c>
      <c r="N24" s="40">
        <v>70</v>
      </c>
      <c r="O24" s="51" t="s">
        <v>149</v>
      </c>
      <c r="P24" s="57" t="s">
        <v>164</v>
      </c>
    </row>
    <row r="25" spans="1:16" ht="23.25" x14ac:dyDescent="0.45">
      <c r="A25" s="61" t="s">
        <v>10</v>
      </c>
      <c r="B25" s="76" t="s">
        <v>160</v>
      </c>
      <c r="C25" s="64" t="s">
        <v>158</v>
      </c>
      <c r="D25" s="37">
        <v>80</v>
      </c>
      <c r="E25" s="40">
        <v>0.05</v>
      </c>
      <c r="F25" s="43">
        <v>1.2</v>
      </c>
      <c r="G25" s="43">
        <v>0.2</v>
      </c>
      <c r="H25" s="43">
        <f t="shared" si="0"/>
        <v>0.192</v>
      </c>
      <c r="I25" s="49"/>
      <c r="J25" s="42"/>
      <c r="K25" s="42"/>
      <c r="L25" s="43">
        <v>100</v>
      </c>
      <c r="M25" s="44">
        <v>8</v>
      </c>
      <c r="N25" s="40">
        <v>60</v>
      </c>
      <c r="O25" s="51" t="s">
        <v>149</v>
      </c>
      <c r="P25" s="57" t="s">
        <v>164</v>
      </c>
    </row>
    <row r="26" spans="1:16" ht="23.25" x14ac:dyDescent="0.45">
      <c r="A26" s="4" t="s">
        <v>7</v>
      </c>
      <c r="B26" s="76" t="s">
        <v>211</v>
      </c>
      <c r="C26" s="64" t="s">
        <v>158</v>
      </c>
      <c r="D26" s="37">
        <v>80</v>
      </c>
      <c r="E26" s="40">
        <v>0.05</v>
      </c>
      <c r="F26" s="43">
        <v>1</v>
      </c>
      <c r="G26" s="43">
        <v>0.1</v>
      </c>
      <c r="H26" s="43">
        <f t="shared" si="0"/>
        <v>0.16</v>
      </c>
      <c r="I26" s="49"/>
      <c r="J26" s="42"/>
      <c r="K26" s="42"/>
      <c r="L26" s="43">
        <v>100</v>
      </c>
      <c r="M26" s="44">
        <v>8</v>
      </c>
      <c r="N26" s="40">
        <v>60</v>
      </c>
      <c r="O26" s="51" t="s">
        <v>149</v>
      </c>
      <c r="P26" s="57" t="s">
        <v>164</v>
      </c>
    </row>
    <row r="27" spans="1:16" ht="23.25" x14ac:dyDescent="0.45">
      <c r="A27" s="4" t="s">
        <v>8</v>
      </c>
      <c r="B27" s="76" t="s">
        <v>22</v>
      </c>
      <c r="C27" s="64" t="s">
        <v>158</v>
      </c>
      <c r="D27" s="37">
        <v>80</v>
      </c>
      <c r="E27" s="40">
        <v>0.05</v>
      </c>
      <c r="F27" s="43">
        <v>0.6</v>
      </c>
      <c r="G27" s="43">
        <v>0.1</v>
      </c>
      <c r="H27" s="43">
        <f t="shared" si="0"/>
        <v>9.6000000000000002E-2</v>
      </c>
      <c r="I27" s="49"/>
      <c r="J27" s="42"/>
      <c r="K27" s="42"/>
      <c r="L27" s="43">
        <v>100</v>
      </c>
      <c r="M27" s="44">
        <v>8</v>
      </c>
      <c r="N27" s="40">
        <v>60</v>
      </c>
      <c r="O27" s="51" t="s">
        <v>149</v>
      </c>
      <c r="P27" s="57" t="s">
        <v>164</v>
      </c>
    </row>
    <row r="28" spans="1:16" ht="23.25" x14ac:dyDescent="0.45">
      <c r="A28" s="4" t="s">
        <v>9</v>
      </c>
      <c r="B28" s="76" t="s">
        <v>22</v>
      </c>
      <c r="C28" s="64" t="s">
        <v>158</v>
      </c>
      <c r="D28" s="37">
        <v>80</v>
      </c>
      <c r="E28" s="40">
        <v>0.05</v>
      </c>
      <c r="F28" s="43">
        <v>0.3</v>
      </c>
      <c r="G28" s="43">
        <v>0.1</v>
      </c>
      <c r="H28" s="43">
        <f t="shared" si="0"/>
        <v>4.8000000000000001E-2</v>
      </c>
      <c r="I28" s="49"/>
      <c r="J28" s="42"/>
      <c r="K28" s="42"/>
      <c r="L28" s="43">
        <v>100</v>
      </c>
      <c r="M28" s="44">
        <v>8</v>
      </c>
      <c r="N28" s="40">
        <v>60</v>
      </c>
      <c r="O28" s="51" t="s">
        <v>149</v>
      </c>
      <c r="P28" s="57" t="s">
        <v>164</v>
      </c>
    </row>
    <row r="29" spans="1:16" ht="23.25" x14ac:dyDescent="0.45">
      <c r="A29" s="61" t="s">
        <v>10</v>
      </c>
      <c r="B29" s="76" t="s">
        <v>160</v>
      </c>
      <c r="C29" s="64" t="s">
        <v>159</v>
      </c>
      <c r="D29" s="37">
        <v>80</v>
      </c>
      <c r="E29" s="40">
        <v>0.05</v>
      </c>
      <c r="F29" s="43">
        <v>2.5</v>
      </c>
      <c r="G29" s="43">
        <v>0.4</v>
      </c>
      <c r="H29" s="43">
        <f t="shared" si="0"/>
        <v>0.4</v>
      </c>
      <c r="I29" s="49"/>
      <c r="J29" s="42"/>
      <c r="K29" s="42"/>
      <c r="L29" s="43">
        <v>100</v>
      </c>
      <c r="M29" s="44">
        <v>8</v>
      </c>
      <c r="N29" s="40">
        <v>70</v>
      </c>
      <c r="O29" s="51" t="s">
        <v>149</v>
      </c>
      <c r="P29" s="57" t="s">
        <v>164</v>
      </c>
    </row>
    <row r="30" spans="1:16" ht="23.25" x14ac:dyDescent="0.45">
      <c r="A30" s="4" t="s">
        <v>7</v>
      </c>
      <c r="B30" s="76" t="s">
        <v>211</v>
      </c>
      <c r="C30" s="64" t="s">
        <v>159</v>
      </c>
      <c r="D30" s="37">
        <v>80</v>
      </c>
      <c r="E30" s="40">
        <v>0.05</v>
      </c>
      <c r="F30" s="43">
        <v>1.5</v>
      </c>
      <c r="G30" s="43">
        <v>0.2</v>
      </c>
      <c r="H30" s="43">
        <f t="shared" si="0"/>
        <v>0.24</v>
      </c>
      <c r="I30" s="49"/>
      <c r="J30" s="42"/>
      <c r="K30" s="42"/>
      <c r="L30" s="43">
        <v>100</v>
      </c>
      <c r="M30" s="44">
        <v>8</v>
      </c>
      <c r="N30" s="40">
        <v>70</v>
      </c>
      <c r="O30" s="51" t="s">
        <v>149</v>
      </c>
      <c r="P30" s="57" t="s">
        <v>164</v>
      </c>
    </row>
    <row r="31" spans="1:16" ht="23.25" x14ac:dyDescent="0.45">
      <c r="A31" s="4" t="s">
        <v>10</v>
      </c>
      <c r="B31" s="76" t="s">
        <v>160</v>
      </c>
      <c r="C31" s="64" t="s">
        <v>159</v>
      </c>
      <c r="D31" s="37">
        <v>80</v>
      </c>
      <c r="E31" s="40">
        <v>0.05</v>
      </c>
      <c r="F31" s="43">
        <v>1.2</v>
      </c>
      <c r="G31" s="43">
        <v>0.2</v>
      </c>
      <c r="H31" s="43">
        <f t="shared" si="0"/>
        <v>0.192</v>
      </c>
      <c r="I31" s="49"/>
      <c r="J31" s="42"/>
      <c r="K31" s="42"/>
      <c r="L31" s="43">
        <v>100</v>
      </c>
      <c r="M31" s="44">
        <v>8</v>
      </c>
      <c r="N31" s="40">
        <v>60</v>
      </c>
      <c r="O31" s="51" t="s">
        <v>149</v>
      </c>
      <c r="P31" s="57" t="s">
        <v>164</v>
      </c>
    </row>
    <row r="32" spans="1:16" ht="23.25" x14ac:dyDescent="0.45">
      <c r="A32" s="4" t="s">
        <v>7</v>
      </c>
      <c r="B32" s="76" t="s">
        <v>211</v>
      </c>
      <c r="C32" s="64" t="s">
        <v>159</v>
      </c>
      <c r="D32" s="37">
        <v>80</v>
      </c>
      <c r="E32" s="40">
        <v>0.05</v>
      </c>
      <c r="F32" s="43">
        <v>1.1000000000000001</v>
      </c>
      <c r="G32" s="43">
        <v>0.2</v>
      </c>
      <c r="H32" s="43">
        <f t="shared" si="0"/>
        <v>0.17599999999999999</v>
      </c>
      <c r="I32" s="49"/>
      <c r="J32" s="42"/>
      <c r="K32" s="42"/>
      <c r="L32" s="43">
        <v>100</v>
      </c>
      <c r="M32" s="44">
        <v>8</v>
      </c>
      <c r="N32" s="40">
        <v>60</v>
      </c>
      <c r="O32" s="51" t="s">
        <v>149</v>
      </c>
      <c r="P32" s="57" t="s">
        <v>164</v>
      </c>
    </row>
    <row r="33" spans="1:16" ht="23.25" x14ac:dyDescent="0.45">
      <c r="A33" s="4" t="s">
        <v>8</v>
      </c>
      <c r="B33" s="76" t="s">
        <v>22</v>
      </c>
      <c r="C33" s="64" t="s">
        <v>159</v>
      </c>
      <c r="D33" s="37">
        <v>80</v>
      </c>
      <c r="E33" s="40">
        <v>0.05</v>
      </c>
      <c r="F33" s="43">
        <v>0.8</v>
      </c>
      <c r="G33" s="43">
        <v>0.1</v>
      </c>
      <c r="H33" s="43">
        <f t="shared" si="0"/>
        <v>0.128</v>
      </c>
      <c r="I33" s="49"/>
      <c r="J33" s="42"/>
      <c r="K33" s="42"/>
      <c r="L33" s="43">
        <v>100</v>
      </c>
      <c r="M33" s="44">
        <v>8</v>
      </c>
      <c r="N33" s="40">
        <v>60</v>
      </c>
      <c r="O33" s="51" t="s">
        <v>149</v>
      </c>
      <c r="P33" s="57" t="s">
        <v>164</v>
      </c>
    </row>
    <row r="34" spans="1:16" ht="23.25" x14ac:dyDescent="0.45">
      <c r="A34" s="4" t="s">
        <v>9</v>
      </c>
      <c r="B34" s="76" t="s">
        <v>22</v>
      </c>
      <c r="C34" s="64" t="s">
        <v>159</v>
      </c>
      <c r="D34" s="37">
        <v>80</v>
      </c>
      <c r="E34" s="40">
        <v>0.05</v>
      </c>
      <c r="F34" s="43">
        <v>0.4</v>
      </c>
      <c r="G34" s="43">
        <v>0</v>
      </c>
      <c r="H34" s="43">
        <f t="shared" si="0"/>
        <v>6.4000000000000001E-2</v>
      </c>
      <c r="I34" s="49"/>
      <c r="J34" s="42"/>
      <c r="K34" s="42"/>
      <c r="L34" s="43">
        <v>100</v>
      </c>
      <c r="M34" s="44">
        <v>8</v>
      </c>
      <c r="N34" s="40">
        <v>60</v>
      </c>
      <c r="O34" s="51" t="s">
        <v>149</v>
      </c>
      <c r="P34" s="57" t="s">
        <v>164</v>
      </c>
    </row>
    <row r="35" spans="1:16" x14ac:dyDescent="0.45">
      <c r="A35" s="61" t="s">
        <v>12</v>
      </c>
      <c r="B35" s="76" t="s">
        <v>210</v>
      </c>
      <c r="C35" s="63" t="s">
        <v>150</v>
      </c>
      <c r="D35" s="37">
        <v>30</v>
      </c>
      <c r="E35" s="40">
        <v>0.4</v>
      </c>
      <c r="F35" s="48">
        <v>20.6</v>
      </c>
      <c r="G35" s="49"/>
      <c r="H35" s="43">
        <f t="shared" si="0"/>
        <v>1.2874999999999996</v>
      </c>
      <c r="I35" s="49"/>
      <c r="J35" s="42"/>
      <c r="K35" s="42"/>
      <c r="L35" s="43">
        <v>12</v>
      </c>
      <c r="M35" s="44">
        <v>8</v>
      </c>
      <c r="N35" s="40">
        <v>55</v>
      </c>
      <c r="O35" s="51" t="s">
        <v>151</v>
      </c>
      <c r="P35" s="56" t="s">
        <v>163</v>
      </c>
    </row>
    <row r="36" spans="1:16" ht="23.25" x14ac:dyDescent="0.45">
      <c r="A36" s="4" t="s">
        <v>10</v>
      </c>
      <c r="B36" s="76" t="s">
        <v>160</v>
      </c>
      <c r="C36" s="63" t="s">
        <v>150</v>
      </c>
      <c r="D36" s="37">
        <v>30</v>
      </c>
      <c r="E36" s="40">
        <v>0.4</v>
      </c>
      <c r="F36" s="48">
        <v>9.5</v>
      </c>
      <c r="G36" s="49"/>
      <c r="H36" s="43">
        <f t="shared" si="0"/>
        <v>0.59374999999999989</v>
      </c>
      <c r="I36" s="49"/>
      <c r="J36" s="42"/>
      <c r="K36" s="42"/>
      <c r="L36" s="43">
        <v>12</v>
      </c>
      <c r="M36" s="44">
        <v>8</v>
      </c>
      <c r="N36" s="40">
        <v>65</v>
      </c>
      <c r="O36" s="51" t="s">
        <v>151</v>
      </c>
      <c r="P36" s="56" t="s">
        <v>163</v>
      </c>
    </row>
    <row r="37" spans="1:16" x14ac:dyDescent="0.45">
      <c r="A37" s="4" t="s">
        <v>13</v>
      </c>
      <c r="B37" s="76" t="s">
        <v>213</v>
      </c>
      <c r="C37" s="63" t="s">
        <v>150</v>
      </c>
      <c r="D37" s="37">
        <v>25</v>
      </c>
      <c r="E37" s="40">
        <v>0.5</v>
      </c>
      <c r="F37" s="41">
        <v>50</v>
      </c>
      <c r="G37" s="46"/>
      <c r="H37" s="43">
        <f t="shared" si="0"/>
        <v>0.52083333333333337</v>
      </c>
      <c r="I37" s="46"/>
      <c r="J37" s="42"/>
      <c r="K37" s="42"/>
      <c r="L37" s="43">
        <v>48</v>
      </c>
      <c r="M37" s="44">
        <v>8</v>
      </c>
      <c r="N37" s="40">
        <v>37</v>
      </c>
      <c r="O37" s="51" t="s">
        <v>152</v>
      </c>
      <c r="P37" s="56" t="s">
        <v>166</v>
      </c>
    </row>
    <row r="38" spans="1:16" ht="34.9" x14ac:dyDescent="0.45">
      <c r="A38" s="4" t="s">
        <v>11</v>
      </c>
      <c r="B38" s="76" t="s">
        <v>55</v>
      </c>
      <c r="C38" s="63" t="s">
        <v>150</v>
      </c>
      <c r="D38" s="37">
        <v>30</v>
      </c>
      <c r="E38" s="40">
        <v>0.4</v>
      </c>
      <c r="F38" s="43">
        <v>5.8</v>
      </c>
      <c r="G38" s="49"/>
      <c r="H38" s="43">
        <f t="shared" si="0"/>
        <v>0.36249999999999993</v>
      </c>
      <c r="I38" s="49"/>
      <c r="J38" s="42"/>
      <c r="K38" s="42"/>
      <c r="L38" s="43">
        <v>12</v>
      </c>
      <c r="M38" s="44">
        <v>8</v>
      </c>
      <c r="N38" s="40">
        <v>70</v>
      </c>
      <c r="O38" s="51" t="s">
        <v>151</v>
      </c>
      <c r="P38" s="56" t="s">
        <v>163</v>
      </c>
    </row>
    <row r="39" spans="1:16" ht="23.25" x14ac:dyDescent="0.45">
      <c r="A39" s="4" t="s">
        <v>7</v>
      </c>
      <c r="B39" s="76" t="s">
        <v>211</v>
      </c>
      <c r="C39" s="63" t="s">
        <v>150</v>
      </c>
      <c r="D39" s="37">
        <v>30</v>
      </c>
      <c r="E39" s="40">
        <v>0.4</v>
      </c>
      <c r="F39" s="43">
        <v>3.7</v>
      </c>
      <c r="G39" s="49"/>
      <c r="H39" s="43">
        <f t="shared" si="0"/>
        <v>0.23124999999999998</v>
      </c>
      <c r="I39" s="49"/>
      <c r="J39" s="42"/>
      <c r="K39" s="42"/>
      <c r="L39" s="43">
        <v>12</v>
      </c>
      <c r="M39" s="44">
        <v>8</v>
      </c>
      <c r="N39" s="40">
        <v>65</v>
      </c>
      <c r="O39" s="51" t="s">
        <v>151</v>
      </c>
      <c r="P39" s="56" t="s">
        <v>163</v>
      </c>
    </row>
    <row r="40" spans="1:16" ht="23.25" x14ac:dyDescent="0.45">
      <c r="A40" s="4" t="s">
        <v>1</v>
      </c>
      <c r="B40" s="76" t="s">
        <v>212</v>
      </c>
      <c r="C40" s="63" t="s">
        <v>150</v>
      </c>
      <c r="D40" s="39">
        <v>20</v>
      </c>
      <c r="E40" s="40">
        <v>0.3</v>
      </c>
      <c r="F40" s="48">
        <v>5.6</v>
      </c>
      <c r="G40" s="43">
        <v>0.7</v>
      </c>
      <c r="H40" s="43">
        <f t="shared" si="0"/>
        <v>3.1111111111111114E-2</v>
      </c>
      <c r="I40" s="49"/>
      <c r="J40" s="42"/>
      <c r="K40" s="42"/>
      <c r="L40" s="43">
        <v>120</v>
      </c>
      <c r="M40" s="44">
        <v>7.5</v>
      </c>
      <c r="N40" s="40">
        <v>30</v>
      </c>
      <c r="O40" s="51" t="s">
        <v>144</v>
      </c>
      <c r="P40" s="53" t="s">
        <v>156</v>
      </c>
    </row>
    <row r="41" spans="1:16" ht="23.25" x14ac:dyDescent="0.45">
      <c r="A41" s="4" t="s">
        <v>3</v>
      </c>
      <c r="B41" s="76" t="s">
        <v>21</v>
      </c>
      <c r="C41" s="63" t="s">
        <v>150</v>
      </c>
      <c r="D41" s="39">
        <v>20</v>
      </c>
      <c r="E41" s="40">
        <v>0.3</v>
      </c>
      <c r="F41" s="43">
        <v>4.5999999999999996</v>
      </c>
      <c r="G41" s="43">
        <v>0.5</v>
      </c>
      <c r="H41" s="43">
        <f t="shared" si="0"/>
        <v>2.5555555555555557E-2</v>
      </c>
      <c r="I41" s="49"/>
      <c r="J41" s="42"/>
      <c r="K41" s="42"/>
      <c r="L41" s="43">
        <v>120</v>
      </c>
      <c r="M41" s="44">
        <v>7.5</v>
      </c>
      <c r="N41" s="40">
        <v>30</v>
      </c>
      <c r="O41" s="51" t="s">
        <v>144</v>
      </c>
      <c r="P41" s="53" t="s">
        <v>154</v>
      </c>
    </row>
    <row r="42" spans="1:16" ht="23.25" x14ac:dyDescent="0.45">
      <c r="A42" s="4" t="s">
        <v>2</v>
      </c>
      <c r="B42" s="76" t="s">
        <v>20</v>
      </c>
      <c r="C42" s="63" t="s">
        <v>150</v>
      </c>
      <c r="D42" s="39">
        <v>20</v>
      </c>
      <c r="E42" s="40">
        <v>0.3</v>
      </c>
      <c r="F42" s="43">
        <v>2.4</v>
      </c>
      <c r="G42" s="43">
        <v>0.2</v>
      </c>
      <c r="H42" s="43">
        <f t="shared" si="0"/>
        <v>1.3333333333333332E-2</v>
      </c>
      <c r="I42" s="49"/>
      <c r="J42" s="42"/>
      <c r="K42" s="42"/>
      <c r="L42" s="43">
        <v>120</v>
      </c>
      <c r="M42" s="44">
        <v>7.5</v>
      </c>
      <c r="N42" s="40">
        <v>25</v>
      </c>
      <c r="O42" s="51" t="s">
        <v>144</v>
      </c>
      <c r="P42" s="53" t="s">
        <v>154</v>
      </c>
    </row>
    <row r="43" spans="1:16" s="90" customFormat="1" ht="23.25" x14ac:dyDescent="0.45">
      <c r="A43" s="79" t="s">
        <v>115</v>
      </c>
      <c r="B43" s="80" t="s">
        <v>116</v>
      </c>
      <c r="C43" s="81" t="s">
        <v>150</v>
      </c>
      <c r="D43" s="82">
        <v>35</v>
      </c>
      <c r="E43" s="82" t="s">
        <v>200</v>
      </c>
      <c r="F43" s="83">
        <v>72.69</v>
      </c>
      <c r="G43" s="84"/>
      <c r="H43" s="82"/>
      <c r="I43" s="84"/>
      <c r="J43" s="85"/>
      <c r="K43" s="85"/>
      <c r="L43" s="86">
        <v>48</v>
      </c>
      <c r="M43" s="87">
        <v>7.4</v>
      </c>
      <c r="N43" s="82">
        <v>30</v>
      </c>
      <c r="O43" s="88" t="s">
        <v>134</v>
      </c>
      <c r="P43" s="89" t="s">
        <v>199</v>
      </c>
    </row>
    <row r="44" spans="1:16" ht="23.25" x14ac:dyDescent="0.45">
      <c r="A44" s="4" t="s">
        <v>6</v>
      </c>
      <c r="B44" s="76" t="s">
        <v>214</v>
      </c>
      <c r="C44" s="62" t="s">
        <v>202</v>
      </c>
      <c r="D44" s="38"/>
      <c r="E44" s="40"/>
      <c r="F44" s="41"/>
      <c r="G44" s="46"/>
      <c r="H44" s="40"/>
      <c r="I44" s="40">
        <v>1.7000000000000001E-2</v>
      </c>
      <c r="J44" s="42"/>
      <c r="K44" s="42"/>
      <c r="L44" s="40" t="s">
        <v>205</v>
      </c>
      <c r="M44" s="44" t="s">
        <v>205</v>
      </c>
      <c r="N44" s="40" t="s">
        <v>205</v>
      </c>
      <c r="O44" s="51" t="s">
        <v>197</v>
      </c>
      <c r="P44" s="53" t="s">
        <v>198</v>
      </c>
    </row>
    <row r="45" spans="1:16" x14ac:dyDescent="0.45">
      <c r="A45" s="4" t="s">
        <v>15</v>
      </c>
      <c r="B45" s="76" t="s">
        <v>23</v>
      </c>
      <c r="C45" s="62" t="s">
        <v>169</v>
      </c>
      <c r="D45" s="38"/>
      <c r="E45" s="40"/>
      <c r="F45" s="40">
        <v>97</v>
      </c>
      <c r="G45" s="46"/>
      <c r="H45" s="40"/>
      <c r="I45" s="46"/>
      <c r="J45" s="42"/>
      <c r="K45" s="42"/>
      <c r="L45" s="40">
        <v>24</v>
      </c>
      <c r="M45" s="44">
        <v>7.5</v>
      </c>
      <c r="N45" s="40">
        <v>30</v>
      </c>
      <c r="O45" s="55" t="s">
        <v>170</v>
      </c>
      <c r="P45" s="53" t="s">
        <v>171</v>
      </c>
    </row>
    <row r="46" spans="1:16" x14ac:dyDescent="0.45">
      <c r="A46" s="61" t="s">
        <v>16</v>
      </c>
      <c r="B46" s="76" t="s">
        <v>23</v>
      </c>
      <c r="C46" s="62" t="s">
        <v>169</v>
      </c>
      <c r="D46" s="38"/>
      <c r="E46" s="40"/>
      <c r="F46" s="40">
        <v>100</v>
      </c>
      <c r="G46" s="46"/>
      <c r="H46" s="40"/>
      <c r="I46" s="46"/>
      <c r="J46" s="42"/>
      <c r="K46" s="42"/>
      <c r="L46" s="40">
        <v>24</v>
      </c>
      <c r="M46" s="44">
        <v>7.5</v>
      </c>
      <c r="N46" s="40">
        <v>30</v>
      </c>
      <c r="O46" s="51" t="s">
        <v>170</v>
      </c>
      <c r="P46" s="53" t="s">
        <v>171</v>
      </c>
    </row>
    <row r="47" spans="1:16" x14ac:dyDescent="0.45">
      <c r="A47" s="4" t="s">
        <v>17</v>
      </c>
      <c r="B47" s="76" t="s">
        <v>23</v>
      </c>
      <c r="C47" s="62" t="s">
        <v>169</v>
      </c>
      <c r="D47" s="38"/>
      <c r="E47" s="40"/>
      <c r="F47" s="40">
        <v>95</v>
      </c>
      <c r="G47" s="46"/>
      <c r="H47" s="40"/>
      <c r="I47" s="46"/>
      <c r="J47" s="42"/>
      <c r="K47" s="42"/>
      <c r="L47" s="40">
        <v>24</v>
      </c>
      <c r="M47" s="44">
        <v>7.5</v>
      </c>
      <c r="N47" s="40">
        <v>30</v>
      </c>
      <c r="O47" s="51" t="s">
        <v>170</v>
      </c>
      <c r="P47" s="53" t="s">
        <v>171</v>
      </c>
    </row>
    <row r="48" spans="1:16" ht="30.75" x14ac:dyDescent="0.45">
      <c r="A48" s="4" t="s">
        <v>18</v>
      </c>
      <c r="B48" s="76" t="s">
        <v>215</v>
      </c>
      <c r="C48" s="62" t="s">
        <v>201</v>
      </c>
      <c r="D48" s="38"/>
      <c r="E48" s="40" t="s">
        <v>196</v>
      </c>
      <c r="F48" s="41"/>
      <c r="G48" s="46"/>
      <c r="H48" s="40"/>
      <c r="I48" s="40">
        <v>0.16</v>
      </c>
      <c r="J48" s="42"/>
      <c r="K48" s="42"/>
      <c r="L48" s="40">
        <v>6</v>
      </c>
      <c r="M48" s="45">
        <v>7</v>
      </c>
      <c r="N48" s="40">
        <v>30</v>
      </c>
      <c r="O48" s="55" t="s">
        <v>204</v>
      </c>
      <c r="P48" s="53" t="s">
        <v>203</v>
      </c>
    </row>
    <row r="49" spans="1:16" x14ac:dyDescent="0.45">
      <c r="A49" s="36" t="s">
        <v>17</v>
      </c>
      <c r="B49" s="75"/>
      <c r="C49" s="63" t="s">
        <v>172</v>
      </c>
      <c r="D49" s="37"/>
      <c r="E49" s="40"/>
      <c r="F49" s="41"/>
      <c r="G49" s="40"/>
      <c r="H49" s="40"/>
      <c r="I49" s="41" t="s">
        <v>183</v>
      </c>
      <c r="J49" s="42"/>
      <c r="K49" s="42"/>
      <c r="L49" s="43" t="s">
        <v>23</v>
      </c>
      <c r="M49" s="45">
        <v>7.5</v>
      </c>
      <c r="N49" s="40" t="s">
        <v>205</v>
      </c>
      <c r="O49" s="51" t="s">
        <v>177</v>
      </c>
      <c r="P49" s="56"/>
    </row>
    <row r="50" spans="1:16" x14ac:dyDescent="0.45">
      <c r="A50" s="67" t="s">
        <v>15</v>
      </c>
      <c r="B50" s="75"/>
      <c r="C50" s="63" t="s">
        <v>172</v>
      </c>
      <c r="D50" s="37"/>
      <c r="E50" s="40"/>
      <c r="F50" s="41"/>
      <c r="G50" s="40"/>
      <c r="H50" s="40"/>
      <c r="I50" s="41" t="s">
        <v>182</v>
      </c>
      <c r="J50" s="42"/>
      <c r="K50" s="42"/>
      <c r="L50" s="43" t="s">
        <v>23</v>
      </c>
      <c r="M50" s="45">
        <v>7.5</v>
      </c>
      <c r="N50" s="40" t="s">
        <v>205</v>
      </c>
      <c r="O50" s="51" t="s">
        <v>177</v>
      </c>
      <c r="P50" s="56"/>
    </row>
    <row r="51" spans="1:16" x14ac:dyDescent="0.45">
      <c r="A51" s="61" t="s">
        <v>15</v>
      </c>
      <c r="B51" s="75"/>
      <c r="C51" s="63" t="s">
        <v>172</v>
      </c>
      <c r="D51" s="37"/>
      <c r="E51" s="40"/>
      <c r="F51" s="41"/>
      <c r="G51" s="40"/>
      <c r="H51" s="40"/>
      <c r="I51" s="41" t="s">
        <v>173</v>
      </c>
      <c r="J51" s="42"/>
      <c r="K51" s="42"/>
      <c r="L51" s="43" t="s">
        <v>23</v>
      </c>
      <c r="M51" s="44">
        <v>10</v>
      </c>
      <c r="N51" s="40">
        <v>70</v>
      </c>
      <c r="O51" s="51" t="s">
        <v>170</v>
      </c>
      <c r="P51" s="56"/>
    </row>
    <row r="52" spans="1:16" x14ac:dyDescent="0.45">
      <c r="A52" s="4" t="s">
        <v>16</v>
      </c>
      <c r="B52" s="75"/>
      <c r="C52" s="63" t="s">
        <v>172</v>
      </c>
      <c r="D52" s="37"/>
      <c r="E52" s="40"/>
      <c r="F52" s="41"/>
      <c r="G52" s="40"/>
      <c r="H52" s="40"/>
      <c r="I52" s="41" t="s">
        <v>174</v>
      </c>
      <c r="J52" s="42"/>
      <c r="K52" s="42"/>
      <c r="L52" s="43" t="s">
        <v>23</v>
      </c>
      <c r="M52" s="44">
        <v>10</v>
      </c>
      <c r="N52" s="40">
        <v>70</v>
      </c>
      <c r="O52" s="51" t="s">
        <v>170</v>
      </c>
      <c r="P52" s="56"/>
    </row>
    <row r="53" spans="1:16" x14ac:dyDescent="0.45">
      <c r="A53" s="4" t="s">
        <v>17</v>
      </c>
      <c r="B53" s="75"/>
      <c r="C53" s="63" t="s">
        <v>172</v>
      </c>
      <c r="D53" s="37"/>
      <c r="E53" s="40"/>
      <c r="F53" s="41"/>
      <c r="G53" s="40"/>
      <c r="H53" s="40"/>
      <c r="I53" s="41" t="s">
        <v>175</v>
      </c>
      <c r="J53" s="42"/>
      <c r="K53" s="42"/>
      <c r="L53" s="43" t="s">
        <v>23</v>
      </c>
      <c r="M53" s="44">
        <v>10</v>
      </c>
      <c r="N53" s="40">
        <v>35</v>
      </c>
      <c r="O53" s="51" t="s">
        <v>170</v>
      </c>
      <c r="P53" s="56"/>
    </row>
    <row r="54" spans="1:16" x14ac:dyDescent="0.45">
      <c r="A54" s="4" t="s">
        <v>15</v>
      </c>
      <c r="B54" s="75"/>
      <c r="C54" s="63" t="s">
        <v>176</v>
      </c>
      <c r="D54" s="37"/>
      <c r="E54" s="40"/>
      <c r="F54" s="41"/>
      <c r="G54" s="40"/>
      <c r="H54" s="40"/>
      <c r="I54" s="41" t="s">
        <v>184</v>
      </c>
      <c r="J54" s="42"/>
      <c r="K54" s="42"/>
      <c r="L54" s="43" t="s">
        <v>23</v>
      </c>
      <c r="M54" s="45">
        <v>7.5</v>
      </c>
      <c r="N54" s="40" t="s">
        <v>195</v>
      </c>
      <c r="O54" s="51" t="s">
        <v>178</v>
      </c>
      <c r="P54" s="56"/>
    </row>
    <row r="56" spans="1:16" ht="18" x14ac:dyDescent="0.55000000000000004">
      <c r="A56" s="59" t="s">
        <v>206</v>
      </c>
    </row>
    <row r="57" spans="1:16" x14ac:dyDescent="0.45">
      <c r="A57" t="s">
        <v>168</v>
      </c>
    </row>
    <row r="58" spans="1:16" x14ac:dyDescent="0.45">
      <c r="A58" t="s">
        <v>147</v>
      </c>
    </row>
    <row r="59" spans="1:16" x14ac:dyDescent="0.45">
      <c r="A59" t="s">
        <v>153</v>
      </c>
    </row>
    <row r="60" spans="1:16" x14ac:dyDescent="0.45">
      <c r="A60" s="25" t="s">
        <v>179</v>
      </c>
    </row>
    <row r="62" spans="1:16" x14ac:dyDescent="0.45">
      <c r="A62" s="25" t="s">
        <v>187</v>
      </c>
    </row>
    <row r="63" spans="1:16" x14ac:dyDescent="0.45">
      <c r="A63" t="s">
        <v>190</v>
      </c>
    </row>
  </sheetData>
  <sortState xmlns:xlrd2="http://schemas.microsoft.com/office/spreadsheetml/2017/richdata2" ref="A2:P12">
    <sortCondition descending="1" ref="C2:C12"/>
    <sortCondition descending="1" ref="F2:F12"/>
    <sortCondition descending="1" ref="J2:J12"/>
  </sortState>
  <hyperlinks>
    <hyperlink ref="O12" r:id="rId1" xr:uid="{FC995499-6B23-410A-A6E9-715582EF6457}"/>
    <hyperlink ref="O45" r:id="rId2" xr:uid="{5B7DEA7C-BCE9-4764-AE09-745805FE54AB}"/>
    <hyperlink ref="O48" r:id="rId3" xr:uid="{50DB5887-B242-49CB-BF33-FECB6602505F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Enzymes</vt:lpstr>
      <vt:lpstr>Enzymes&amp;Substarates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humey</dc:creator>
  <cp:lastModifiedBy>Saliha Ardıç</cp:lastModifiedBy>
  <dcterms:created xsi:type="dcterms:W3CDTF">2015-06-05T18:17:20Z</dcterms:created>
  <dcterms:modified xsi:type="dcterms:W3CDTF">2026-06-19T20:51:28Z</dcterms:modified>
</cp:coreProperties>
</file>