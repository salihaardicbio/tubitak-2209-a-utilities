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lih\Desktop\CODEML\"/>
    </mc:Choice>
  </mc:AlternateContent>
  <xr:revisionPtr revIDLastSave="0" documentId="13_ncr:1_{889B7F3A-19DC-4AC9-911D-42C25C704DF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" l="1"/>
  <c r="I67" i="1"/>
  <c r="I65" i="1"/>
  <c r="I63" i="1"/>
  <c r="I49" i="1"/>
  <c r="I53" i="1"/>
  <c r="I51" i="1"/>
  <c r="I47" i="1"/>
  <c r="I19" i="1"/>
  <c r="I25" i="1"/>
  <c r="I23" i="1"/>
  <c r="I21" i="1"/>
</calcChain>
</file>

<file path=xl/sharedStrings.xml><?xml version="1.0" encoding="utf-8"?>
<sst xmlns="http://schemas.openxmlformats.org/spreadsheetml/2006/main" count="44" uniqueCount="21">
  <si>
    <t>Model Comperasion</t>
  </si>
  <si>
    <t>l (log-likelihood score)</t>
  </si>
  <si>
    <t>df</t>
  </si>
  <si>
    <t>2ΔL</t>
  </si>
  <si>
    <t>M0 vs. M1a</t>
  </si>
  <si>
    <t>M1a vs. M2a</t>
  </si>
  <si>
    <t>M7 vs. M8</t>
  </si>
  <si>
    <t>M0 vs. M3</t>
  </si>
  <si>
    <t>Threshold</t>
  </si>
  <si>
    <t>p value(right-tailed)</t>
  </si>
  <si>
    <t>0.9968151</t>
  </si>
  <si>
    <t>1.91 e-13</t>
  </si>
  <si>
    <t>NO TRIMMING 2712 sites</t>
  </si>
  <si>
    <t>9.678592e-18</t>
  </si>
  <si>
    <t>1</t>
  </si>
  <si>
    <t>0.01226507</t>
  </si>
  <si>
    <t>2.440937e-36</t>
  </si>
  <si>
    <t>CLEANDATA=1 153 SITES</t>
  </si>
  <si>
    <t>TRIMMED WITH CLIPKIT 957 SITES</t>
  </si>
  <si>
    <t>0,329</t>
  </si>
  <si>
    <t>0.07438507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</si>
</sst>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" fontId="0" fillId="0" borderId="0" xfId="0" applyNumberFormat="1"/>
    <xf numFmtId="2" fontId="0" fillId="0" borderId="0" xfId="0" applyNumberFormat="1"/>
    <xf numFmtId="49" fontId="3" fillId="0" borderId="0" xfId="0" applyNumberFormat="1" applyFont="1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3" fontId="2" fillId="0" borderId="1" xfId="0" applyNumberFormat="1" applyFont="1" applyBorder="1"/>
    <xf numFmtId="4" fontId="0" fillId="0" borderId="0" xfId="0" applyNumberFormat="1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Fill="1"/>
    <xf numFmtId="164" fontId="1" fillId="0" borderId="0" xfId="0" applyNumberFormat="1" applyFont="1" applyFill="1"/>
    <xf numFmtId="2" fontId="1" fillId="0" borderId="0" xfId="0" applyNumberFormat="1" applyFont="1" applyFill="1"/>
    <xf numFmtId="49" fontId="3" fillId="0" borderId="0" xfId="0" applyNumberFormat="1" applyFont="1" applyFill="1"/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wrapText="1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18</xdr:row>
      <xdr:rowOff>95251</xdr:rowOff>
    </xdr:from>
    <xdr:to>
      <xdr:col>9</xdr:col>
      <xdr:colOff>404813</xdr:colOff>
      <xdr:row>19</xdr:row>
      <xdr:rowOff>123826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87D36-C865-A08D-FF41-821FC2EA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7738" y="5381626"/>
          <a:ext cx="33813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61912</xdr:colOff>
      <xdr:row>20</xdr:row>
      <xdr:rowOff>95249</xdr:rowOff>
    </xdr:from>
    <xdr:to>
      <xdr:col>9</xdr:col>
      <xdr:colOff>404812</xdr:colOff>
      <xdr:row>21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078EE0-3A7B-AC49-326B-A1C584C5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86437"/>
          <a:ext cx="342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61913</xdr:colOff>
      <xdr:row>22</xdr:row>
      <xdr:rowOff>90488</xdr:rowOff>
    </xdr:from>
    <xdr:to>
      <xdr:col>9</xdr:col>
      <xdr:colOff>404813</xdr:colOff>
      <xdr:row>23</xdr:row>
      <xdr:rowOff>119063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31A5F6-EB81-4C47-9E41-CD486AC9A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6" y="6186488"/>
          <a:ext cx="342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52387</xdr:colOff>
      <xdr:row>24</xdr:row>
      <xdr:rowOff>109537</xdr:rowOff>
    </xdr:from>
    <xdr:to>
      <xdr:col>9</xdr:col>
      <xdr:colOff>395287</xdr:colOff>
      <xdr:row>25</xdr:row>
      <xdr:rowOff>138112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0D2386-C867-C87E-5475-90FDA654C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450" y="6610350"/>
          <a:ext cx="3429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46</xdr:row>
      <xdr:rowOff>95251</xdr:rowOff>
    </xdr:from>
    <xdr:to>
      <xdr:col>9</xdr:col>
      <xdr:colOff>404813</xdr:colOff>
      <xdr:row>47</xdr:row>
      <xdr:rowOff>123826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80F64B-0025-4FE8-9B83-E5DB695D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1194" y="5388430"/>
          <a:ext cx="338138" cy="22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61912</xdr:colOff>
      <xdr:row>48</xdr:row>
      <xdr:rowOff>95249</xdr:rowOff>
    </xdr:from>
    <xdr:to>
      <xdr:col>9</xdr:col>
      <xdr:colOff>404812</xdr:colOff>
      <xdr:row>49</xdr:row>
      <xdr:rowOff>123824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816006-06AC-44CE-BA85-62E5AD4AE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6431" y="5783035"/>
          <a:ext cx="342900" cy="22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61913</xdr:colOff>
      <xdr:row>50</xdr:row>
      <xdr:rowOff>90488</xdr:rowOff>
    </xdr:from>
    <xdr:to>
      <xdr:col>9</xdr:col>
      <xdr:colOff>404813</xdr:colOff>
      <xdr:row>51</xdr:row>
      <xdr:rowOff>119063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D13D5C-B358-4189-965A-035E8FFB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6432" y="6172881"/>
          <a:ext cx="342900" cy="22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52387</xdr:colOff>
      <xdr:row>52</xdr:row>
      <xdr:rowOff>109537</xdr:rowOff>
    </xdr:from>
    <xdr:to>
      <xdr:col>9</xdr:col>
      <xdr:colOff>395287</xdr:colOff>
      <xdr:row>53</xdr:row>
      <xdr:rowOff>138112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2C239B-2E96-4A50-A8E4-3C789A6E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906" y="6586537"/>
          <a:ext cx="342900" cy="22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62</xdr:row>
      <xdr:rowOff>95251</xdr:rowOff>
    </xdr:from>
    <xdr:to>
      <xdr:col>9</xdr:col>
      <xdr:colOff>404813</xdr:colOff>
      <xdr:row>63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AED11-7855-4F00-A352-2F489757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3204" y="10589560"/>
          <a:ext cx="338138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61912</xdr:colOff>
      <xdr:row>64</xdr:row>
      <xdr:rowOff>95249</xdr:rowOff>
    </xdr:from>
    <xdr:to>
      <xdr:col>9</xdr:col>
      <xdr:colOff>404812</xdr:colOff>
      <xdr:row>65</xdr:row>
      <xdr:rowOff>123824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583B88A-C208-4E84-8141-B6A3F78A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8441" y="10992970"/>
          <a:ext cx="342900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61913</xdr:colOff>
      <xdr:row>66</xdr:row>
      <xdr:rowOff>90488</xdr:rowOff>
    </xdr:from>
    <xdr:to>
      <xdr:col>9</xdr:col>
      <xdr:colOff>404813</xdr:colOff>
      <xdr:row>67</xdr:row>
      <xdr:rowOff>119063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4383B76-7CE3-475D-A886-F38577775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8442" y="11391621"/>
          <a:ext cx="342900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52387</xdr:colOff>
      <xdr:row>68</xdr:row>
      <xdr:rowOff>109537</xdr:rowOff>
    </xdr:from>
    <xdr:to>
      <xdr:col>9</xdr:col>
      <xdr:colOff>395287</xdr:colOff>
      <xdr:row>69</xdr:row>
      <xdr:rowOff>138112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EAD18E-4004-4145-B48E-98C9D8E5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8916" y="11814082"/>
          <a:ext cx="342900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topLeftCell="E9" zoomScale="85" zoomScaleNormal="85" workbookViewId="0">
      <selection activeCell="J9" sqref="J9"/>
    </sheetView>
  </sheetViews>
  <sheetFormatPr defaultRowHeight="14.25" x14ac:dyDescent="0.45"/>
  <cols>
    <col min="2" max="2" width="9.06640625" style="1"/>
    <col min="3" max="5" width="10.59765625" customWidth="1"/>
    <col min="6" max="6" width="20.6640625" customWidth="1"/>
    <col min="7" max="7" width="20.59765625" style="3" customWidth="1"/>
    <col min="8" max="8" width="4.3984375" customWidth="1"/>
    <col min="9" max="9" width="14.3984375" customWidth="1"/>
    <col min="10" max="10" width="18.6640625" style="3" customWidth="1"/>
    <col min="11" max="11" width="17.265625" style="4" customWidth="1"/>
    <col min="12" max="23" width="30.59765625" customWidth="1"/>
  </cols>
  <sheetData>
    <row r="1" spans="1:11" ht="30" customHeight="1" x14ac:dyDescent="0.45"/>
    <row r="2" spans="1:11" ht="30" customHeight="1" x14ac:dyDescent="0.45"/>
    <row r="3" spans="1:11" ht="30" customHeight="1" x14ac:dyDescent="0.45"/>
    <row r="4" spans="1:11" ht="30" customHeight="1" x14ac:dyDescent="0.45">
      <c r="A4" s="2"/>
    </row>
    <row r="5" spans="1:11" ht="30" customHeight="1" x14ac:dyDescent="0.45"/>
    <row r="6" spans="1:11" s="14" customFormat="1" ht="30" customHeight="1" x14ac:dyDescent="0.45">
      <c r="B6" s="15"/>
      <c r="G6" s="16"/>
      <c r="J6" s="16"/>
      <c r="K6" s="17"/>
    </row>
    <row r="7" spans="1:11" s="18" customFormat="1" ht="30" customHeight="1" x14ac:dyDescent="0.45">
      <c r="B7" s="19"/>
      <c r="D7" s="20"/>
      <c r="E7" s="20"/>
      <c r="G7" s="21"/>
      <c r="J7" s="21"/>
      <c r="K7" s="17"/>
    </row>
    <row r="8" spans="1:11" s="18" customFormat="1" ht="30" customHeight="1" x14ac:dyDescent="0.45">
      <c r="B8" s="19"/>
      <c r="D8" s="20"/>
      <c r="E8" s="20"/>
      <c r="G8" s="21"/>
      <c r="J8" s="21"/>
      <c r="K8" s="17"/>
    </row>
    <row r="9" spans="1:11" s="18" customFormat="1" ht="30" customHeight="1" x14ac:dyDescent="0.45">
      <c r="B9" s="19"/>
      <c r="D9" s="20"/>
      <c r="E9" s="20"/>
      <c r="G9" s="21"/>
      <c r="J9" s="21"/>
      <c r="K9" s="17"/>
    </row>
    <row r="10" spans="1:11" ht="30" customHeight="1" x14ac:dyDescent="0.45"/>
    <row r="14" spans="1:11" x14ac:dyDescent="0.45">
      <c r="I14" s="11"/>
    </row>
    <row r="17" spans="6:11" x14ac:dyDescent="0.45">
      <c r="F17" t="s">
        <v>18</v>
      </c>
    </row>
    <row r="18" spans="6:11" ht="15.75" x14ac:dyDescent="0.45">
      <c r="F18" s="5" t="s">
        <v>0</v>
      </c>
      <c r="G18" s="6" t="s">
        <v>1</v>
      </c>
      <c r="H18" s="5" t="s">
        <v>2</v>
      </c>
      <c r="I18" s="5" t="s">
        <v>3</v>
      </c>
      <c r="J18" s="6" t="s">
        <v>8</v>
      </c>
      <c r="K18" s="7" t="s">
        <v>9</v>
      </c>
    </row>
    <row r="19" spans="6:11" ht="15.75" x14ac:dyDescent="0.45">
      <c r="F19" s="12" t="s">
        <v>4</v>
      </c>
      <c r="G19" s="6">
        <v>-11268.821093</v>
      </c>
      <c r="H19" s="5">
        <v>1</v>
      </c>
      <c r="I19" s="12">
        <f>(G20-G19)*2</f>
        <v>-508.27859600000011</v>
      </c>
      <c r="J19" s="13">
        <v>6.6349999999999998</v>
      </c>
      <c r="K19" s="8">
        <v>1</v>
      </c>
    </row>
    <row r="20" spans="6:11" ht="15.75" x14ac:dyDescent="0.45">
      <c r="F20" s="12"/>
      <c r="G20" s="6">
        <v>-11522.960391000001</v>
      </c>
      <c r="H20" s="5"/>
      <c r="I20" s="12"/>
      <c r="J20" s="13"/>
      <c r="K20" s="8"/>
    </row>
    <row r="21" spans="6:11" ht="15.75" x14ac:dyDescent="0.45">
      <c r="F21" s="12" t="s">
        <v>5</v>
      </c>
      <c r="G21" s="6">
        <v>-11522.960391000001</v>
      </c>
      <c r="H21" s="5">
        <v>2</v>
      </c>
      <c r="I21" s="12">
        <f>(G22-G21)*2</f>
        <v>6.3800000025366899E-3</v>
      </c>
      <c r="J21" s="13">
        <v>9.2100000000000009</v>
      </c>
      <c r="K21" s="9" t="s">
        <v>10</v>
      </c>
    </row>
    <row r="22" spans="6:11" ht="15.75" x14ac:dyDescent="0.45">
      <c r="F22" s="12"/>
      <c r="G22" s="6">
        <v>-11522.957200999999</v>
      </c>
      <c r="H22" s="5"/>
      <c r="I22" s="12"/>
      <c r="J22" s="13"/>
      <c r="K22" s="8"/>
    </row>
    <row r="23" spans="6:11" ht="15.75" x14ac:dyDescent="0.45">
      <c r="F23" s="12" t="s">
        <v>6</v>
      </c>
      <c r="G23" s="6">
        <v>-11239.569387</v>
      </c>
      <c r="H23" s="5">
        <v>2</v>
      </c>
      <c r="I23" s="12">
        <f>(G24-G23)*2</f>
        <v>5.196961999998166</v>
      </c>
      <c r="J23" s="13">
        <v>9.2100000000000009</v>
      </c>
      <c r="K23" s="8" t="s">
        <v>20</v>
      </c>
    </row>
    <row r="24" spans="6:11" ht="15.75" x14ac:dyDescent="0.45">
      <c r="F24" s="12"/>
      <c r="G24" s="6">
        <v>-11236.970906</v>
      </c>
      <c r="H24" s="5"/>
      <c r="I24" s="12"/>
      <c r="J24" s="13"/>
      <c r="K24" s="8"/>
    </row>
    <row r="25" spans="6:11" ht="15.75" x14ac:dyDescent="0.45">
      <c r="F25" s="12" t="s">
        <v>7</v>
      </c>
      <c r="G25" s="6">
        <v>-11268.821093</v>
      </c>
      <c r="H25" s="5">
        <v>4</v>
      </c>
      <c r="I25" s="12">
        <f>(G26-G25)*2</f>
        <v>65.60790199999974</v>
      </c>
      <c r="J25" s="13">
        <v>13.276999999999999</v>
      </c>
      <c r="K25" s="9" t="s">
        <v>11</v>
      </c>
    </row>
    <row r="26" spans="6:11" ht="15.75" x14ac:dyDescent="0.5">
      <c r="F26" s="12"/>
      <c r="G26" s="10">
        <v>-11236.017142000001</v>
      </c>
      <c r="H26" s="5"/>
      <c r="I26" s="12"/>
      <c r="J26" s="13"/>
      <c r="K26" s="8"/>
    </row>
    <row r="29" spans="6:11" x14ac:dyDescent="0.45">
      <c r="I29">
        <v>-508.27859600000011</v>
      </c>
    </row>
    <row r="31" spans="6:11" ht="14.25" customHeight="1" x14ac:dyDescent="0.45">
      <c r="I31">
        <v>6.3800000025366899E-3</v>
      </c>
      <c r="J31"/>
    </row>
    <row r="32" spans="6:11" ht="14.65" customHeight="1" x14ac:dyDescent="0.45">
      <c r="J32"/>
    </row>
    <row r="33" spans="6:11" x14ac:dyDescent="0.45">
      <c r="I33">
        <v>-1396.5706259999999</v>
      </c>
    </row>
    <row r="35" spans="6:11" x14ac:dyDescent="0.45">
      <c r="I35">
        <v>65.607901999999697</v>
      </c>
    </row>
    <row r="45" spans="6:11" x14ac:dyDescent="0.45">
      <c r="F45" t="s">
        <v>12</v>
      </c>
    </row>
    <row r="46" spans="6:11" ht="15.75" x14ac:dyDescent="0.45">
      <c r="F46" s="5" t="s">
        <v>0</v>
      </c>
      <c r="G46" s="6" t="s">
        <v>1</v>
      </c>
      <c r="H46" s="5" t="s">
        <v>2</v>
      </c>
      <c r="I46" s="5" t="s">
        <v>3</v>
      </c>
      <c r="J46" s="6" t="s">
        <v>8</v>
      </c>
      <c r="K46" s="7" t="s">
        <v>9</v>
      </c>
    </row>
    <row r="47" spans="6:11" ht="15.75" x14ac:dyDescent="0.45">
      <c r="F47" s="12" t="s">
        <v>4</v>
      </c>
      <c r="G47" s="6">
        <v>-19889.736667000001</v>
      </c>
      <c r="H47" s="5">
        <v>1</v>
      </c>
      <c r="I47" s="12">
        <f>(G48-G47)*2</f>
        <v>73.576566000003368</v>
      </c>
      <c r="J47" s="13">
        <v>6.6349999999999998</v>
      </c>
      <c r="K47" s="8" t="s">
        <v>13</v>
      </c>
    </row>
    <row r="48" spans="6:11" ht="15.75" x14ac:dyDescent="0.45">
      <c r="F48" s="12"/>
      <c r="G48" s="6">
        <v>-19852.948383999999</v>
      </c>
      <c r="H48" s="5"/>
      <c r="I48" s="12"/>
      <c r="J48" s="13"/>
      <c r="K48" s="8"/>
    </row>
    <row r="49" spans="6:11" ht="15.75" x14ac:dyDescent="0.45">
      <c r="F49" s="12" t="s">
        <v>5</v>
      </c>
      <c r="G49" s="6">
        <v>-19852.948383999999</v>
      </c>
      <c r="H49" s="5">
        <v>2</v>
      </c>
      <c r="I49" s="12">
        <f>(G50-G49)*2</f>
        <v>0</v>
      </c>
      <c r="J49" s="13">
        <v>9.2100000000000009</v>
      </c>
      <c r="K49" s="9" t="s">
        <v>14</v>
      </c>
    </row>
    <row r="50" spans="6:11" ht="15.75" x14ac:dyDescent="0.45">
      <c r="F50" s="12"/>
      <c r="G50" s="6">
        <v>-19852.948383999999</v>
      </c>
      <c r="H50" s="5"/>
      <c r="I50" s="12"/>
      <c r="J50" s="13"/>
      <c r="K50" s="8"/>
    </row>
    <row r="51" spans="6:11" ht="15.75" x14ac:dyDescent="0.45">
      <c r="F51" s="12" t="s">
        <v>6</v>
      </c>
      <c r="G51" s="6">
        <v>-19810.512480000001</v>
      </c>
      <c r="H51" s="5">
        <v>2</v>
      </c>
      <c r="I51" s="12">
        <f>(G52-G51)*2</f>
        <v>8.8019820000045002</v>
      </c>
      <c r="J51" s="13">
        <v>9.2100000000000009</v>
      </c>
      <c r="K51" s="8" t="s">
        <v>15</v>
      </c>
    </row>
    <row r="52" spans="6:11" ht="15.75" x14ac:dyDescent="0.45">
      <c r="F52" s="12"/>
      <c r="G52" s="6">
        <v>-19806.111488999999</v>
      </c>
      <c r="H52" s="5"/>
      <c r="I52" s="12"/>
      <c r="J52" s="13"/>
      <c r="K52" s="8"/>
    </row>
    <row r="53" spans="6:11" ht="15.75" x14ac:dyDescent="0.45">
      <c r="F53" s="12" t="s">
        <v>7</v>
      </c>
      <c r="G53" s="6">
        <v>-19889.736667000001</v>
      </c>
      <c r="H53" s="5">
        <v>4</v>
      </c>
      <c r="I53" s="12">
        <f>(G54-G53)*2</f>
        <v>172.94419200000266</v>
      </c>
      <c r="J53" s="13">
        <v>13.276999999999999</v>
      </c>
      <c r="K53" s="9" t="s">
        <v>16</v>
      </c>
    </row>
    <row r="54" spans="6:11" ht="15.75" x14ac:dyDescent="0.5">
      <c r="F54" s="12"/>
      <c r="G54" s="10">
        <v>-19803.264571</v>
      </c>
      <c r="H54" s="5"/>
      <c r="I54" s="12"/>
      <c r="J54" s="13"/>
      <c r="K54" s="8"/>
    </row>
    <row r="61" spans="6:11" x14ac:dyDescent="0.45">
      <c r="F61" t="s">
        <v>17</v>
      </c>
    </row>
    <row r="62" spans="6:11" ht="15.75" x14ac:dyDescent="0.45">
      <c r="F62" s="5" t="s">
        <v>0</v>
      </c>
      <c r="G62" s="6" t="s">
        <v>1</v>
      </c>
      <c r="H62" s="5" t="s">
        <v>2</v>
      </c>
      <c r="I62" s="5" t="s">
        <v>3</v>
      </c>
      <c r="J62" s="6" t="s">
        <v>8</v>
      </c>
      <c r="K62" s="7" t="s">
        <v>9</v>
      </c>
    </row>
    <row r="63" spans="6:11" ht="15.75" x14ac:dyDescent="0.45">
      <c r="F63" s="12" t="s">
        <v>4</v>
      </c>
      <c r="G63" s="6">
        <v>-2477.3990659999999</v>
      </c>
      <c r="H63" s="5">
        <v>1</v>
      </c>
      <c r="I63" s="12">
        <f>(G64-G63)*2</f>
        <v>-121.93571400000019</v>
      </c>
      <c r="J63" s="13">
        <v>6.6349999999999998</v>
      </c>
      <c r="K63" s="8" t="s">
        <v>14</v>
      </c>
    </row>
    <row r="64" spans="6:11" ht="15.75" x14ac:dyDescent="0.45">
      <c r="F64" s="12"/>
      <c r="G64" s="6">
        <v>-2538.366923</v>
      </c>
      <c r="H64" s="5"/>
      <c r="I64" s="12"/>
      <c r="J64" s="13"/>
      <c r="K64" s="8"/>
    </row>
    <row r="65" spans="6:11" ht="15.75" x14ac:dyDescent="0.45">
      <c r="F65" s="12" t="s">
        <v>5</v>
      </c>
      <c r="G65" s="6">
        <v>-2538.366923</v>
      </c>
      <c r="H65" s="5">
        <v>2</v>
      </c>
      <c r="I65" s="12">
        <f>(G66-G65)*2</f>
        <v>0</v>
      </c>
      <c r="J65" s="13">
        <v>9.2100000000000009</v>
      </c>
      <c r="K65" s="9" t="s">
        <v>14</v>
      </c>
    </row>
    <row r="66" spans="6:11" ht="15.75" x14ac:dyDescent="0.45">
      <c r="F66" s="12"/>
      <c r="G66" s="6">
        <v>-2538.366923</v>
      </c>
      <c r="H66" s="5"/>
      <c r="I66" s="12"/>
      <c r="J66" s="13"/>
      <c r="K66" s="8"/>
    </row>
    <row r="67" spans="6:11" ht="15.75" x14ac:dyDescent="0.45">
      <c r="F67" s="12" t="s">
        <v>6</v>
      </c>
      <c r="G67" s="6">
        <v>-2474.2515939999998</v>
      </c>
      <c r="H67" s="5">
        <v>2</v>
      </c>
      <c r="I67" s="12">
        <f>(G68-G67)*2</f>
        <v>-9.3800000013288809E-4</v>
      </c>
      <c r="J67" s="13">
        <v>9.2100000000000009</v>
      </c>
      <c r="K67" s="8" t="s">
        <v>14</v>
      </c>
    </row>
    <row r="68" spans="6:11" ht="15.75" x14ac:dyDescent="0.45">
      <c r="F68" s="12"/>
      <c r="G68" s="6">
        <v>-2474.2520629999999</v>
      </c>
      <c r="H68" s="5"/>
      <c r="I68" s="12"/>
      <c r="J68" s="13"/>
      <c r="K68" s="8"/>
    </row>
    <row r="69" spans="6:11" ht="15.75" x14ac:dyDescent="0.45">
      <c r="F69" s="12" t="s">
        <v>7</v>
      </c>
      <c r="G69" s="6">
        <v>-2477.3990659999999</v>
      </c>
      <c r="H69" s="5">
        <v>4</v>
      </c>
      <c r="I69" s="12">
        <f>(G70-G69)*2</f>
        <v>4.6161099999999351</v>
      </c>
      <c r="J69" s="13">
        <v>13.276999999999999</v>
      </c>
      <c r="K69" s="9" t="s">
        <v>19</v>
      </c>
    </row>
    <row r="70" spans="6:11" ht="15.75" x14ac:dyDescent="0.45">
      <c r="F70" s="12"/>
      <c r="G70" s="6">
        <v>-2475.091011</v>
      </c>
      <c r="H70" s="5"/>
      <c r="I70" s="12"/>
      <c r="J70" s="13"/>
      <c r="K70" s="8"/>
    </row>
  </sheetData>
  <mergeCells count="36">
    <mergeCell ref="F53:F54"/>
    <mergeCell ref="I53:I54"/>
    <mergeCell ref="J53:J54"/>
    <mergeCell ref="F49:F50"/>
    <mergeCell ref="I49:I50"/>
    <mergeCell ref="J49:J50"/>
    <mergeCell ref="F51:F52"/>
    <mergeCell ref="I51:I52"/>
    <mergeCell ref="J51:J52"/>
    <mergeCell ref="F47:F48"/>
    <mergeCell ref="I47:I48"/>
    <mergeCell ref="J47:J48"/>
    <mergeCell ref="J19:J20"/>
    <mergeCell ref="J21:J22"/>
    <mergeCell ref="J23:J24"/>
    <mergeCell ref="J25:J26"/>
    <mergeCell ref="F23:F24"/>
    <mergeCell ref="I23:I24"/>
    <mergeCell ref="F25:F26"/>
    <mergeCell ref="I25:I26"/>
    <mergeCell ref="F19:F20"/>
    <mergeCell ref="I19:I20"/>
    <mergeCell ref="F21:F22"/>
    <mergeCell ref="I21:I22"/>
    <mergeCell ref="F63:F64"/>
    <mergeCell ref="I63:I64"/>
    <mergeCell ref="J63:J64"/>
    <mergeCell ref="F65:F66"/>
    <mergeCell ref="I65:I66"/>
    <mergeCell ref="J65:J66"/>
    <mergeCell ref="F67:F68"/>
    <mergeCell ref="I67:I68"/>
    <mergeCell ref="J67:J68"/>
    <mergeCell ref="F69:F70"/>
    <mergeCell ref="I69:I70"/>
    <mergeCell ref="J69:J70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Saliha Ardıç</dc:creator>
  <cp:lastModifiedBy>Saliha Ardıç</cp:lastModifiedBy>
  <dcterms:created xsi:type="dcterms:W3CDTF">2015-06-05T18:17:20Z</dcterms:created>
  <dcterms:modified xsi:type="dcterms:W3CDTF">2026-02-25T14:27:36Z</dcterms:modified>
</cp:coreProperties>
</file>